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t/Documents/Indexasia/Project_Mirror_web/"/>
    </mc:Choice>
  </mc:AlternateContent>
  <xr:revisionPtr revIDLastSave="0" documentId="8_{23F74F79-0C1C-EF42-BEB8-0BB5D6640A79}" xr6:coauthVersionLast="47" xr6:coauthVersionMax="47" xr10:uidLastSave="{00000000-0000-0000-0000-000000000000}"/>
  <bookViews>
    <workbookView xWindow="-2520" yWindow="-21600" windowWidth="38400" windowHeight="21600" activeTab="1" xr2:uid="{F7E84E78-11C4-084D-B704-FDFF2690A3C4}"/>
  </bookViews>
  <sheets>
    <sheet name="工作表2" sheetId="2" r:id="rId1"/>
    <sheet name="年齡x媒體" sheetId="7" r:id="rId2"/>
    <sheet name="地區X職業" sheetId="6" r:id="rId3"/>
    <sheet name="年齡x婚姻" sheetId="5" r:id="rId4"/>
    <sheet name="地區X性別" sheetId="1" r:id="rId5"/>
    <sheet name="地區X年齡" sheetId="4" r:id="rId6"/>
    <sheet name="地區X教育程度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3" i="1"/>
  <c r="H15" i="1"/>
  <c r="F5" i="1"/>
  <c r="F6" i="1"/>
  <c r="F7" i="1"/>
  <c r="H7" i="1" s="1"/>
  <c r="F8" i="1"/>
  <c r="H8" i="1" s="1"/>
  <c r="F9" i="1"/>
  <c r="H9" i="1" s="1"/>
  <c r="F10" i="1"/>
  <c r="H10" i="1" s="1"/>
  <c r="F11" i="1"/>
  <c r="I11" i="1" s="1"/>
  <c r="F12" i="1"/>
  <c r="H12" i="1" s="1"/>
  <c r="F13" i="1"/>
  <c r="F14" i="1"/>
  <c r="F15" i="1"/>
  <c r="I15" i="1" s="1"/>
  <c r="F16" i="1"/>
  <c r="I16" i="1" s="1"/>
  <c r="F17" i="1"/>
  <c r="I17" i="1" s="1"/>
  <c r="F18" i="1"/>
  <c r="H18" i="1" s="1"/>
  <c r="F19" i="1"/>
  <c r="I19" i="1" s="1"/>
  <c r="F20" i="1"/>
  <c r="H20" i="1" s="1"/>
  <c r="F21" i="1"/>
  <c r="F22" i="1"/>
  <c r="F23" i="1"/>
  <c r="H23" i="1" s="1"/>
  <c r="F24" i="1"/>
  <c r="H24" i="1" s="1"/>
  <c r="F25" i="1"/>
  <c r="H25" i="1" s="1"/>
  <c r="F4" i="1"/>
  <c r="H4" i="1" s="1"/>
  <c r="F3" i="1"/>
  <c r="G7" i="1" s="1"/>
  <c r="G10" i="1" l="1"/>
  <c r="G4" i="1"/>
  <c r="G3" i="1"/>
  <c r="H16" i="1"/>
  <c r="I8" i="1"/>
  <c r="I25" i="1"/>
  <c r="I24" i="1"/>
  <c r="I23" i="1"/>
  <c r="H3" i="1"/>
  <c r="G22" i="1"/>
  <c r="G14" i="1"/>
  <c r="G6" i="1"/>
  <c r="I10" i="1"/>
  <c r="G21" i="1"/>
  <c r="G13" i="1"/>
  <c r="G5" i="1"/>
  <c r="H17" i="1"/>
  <c r="I9" i="1"/>
  <c r="I18" i="1"/>
  <c r="G18" i="1"/>
  <c r="I5" i="1"/>
  <c r="G20" i="1"/>
  <c r="H11" i="1"/>
  <c r="G12" i="1"/>
  <c r="H19" i="1"/>
  <c r="I4" i="1"/>
  <c r="G19" i="1"/>
  <c r="I6" i="1"/>
  <c r="G11" i="1"/>
  <c r="G25" i="1"/>
  <c r="G17" i="1"/>
  <c r="G9" i="1"/>
  <c r="G24" i="1"/>
  <c r="G16" i="1"/>
  <c r="G8" i="1"/>
  <c r="I22" i="1"/>
  <c r="I14" i="1"/>
  <c r="G23" i="1"/>
  <c r="G15" i="1"/>
  <c r="H22" i="1"/>
  <c r="H14" i="1"/>
  <c r="H6" i="1"/>
  <c r="I21" i="1"/>
  <c r="I13" i="1"/>
  <c r="H21" i="1"/>
  <c r="H13" i="1"/>
  <c r="H5" i="1"/>
  <c r="I20" i="1"/>
  <c r="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陳雪珠</author>
  </authors>
  <commentList>
    <comment ref="S8" authorId="0" shapeId="0" xr:uid="{320E966F-1602-B44F-A8B7-F77BC8C9277C}">
      <text>
        <r>
          <rPr>
            <sz val="11"/>
            <color rgb="FF000000"/>
            <rFont val="細明體"/>
            <family val="1"/>
            <charset val="136"/>
          </rPr>
          <t>配合教育部105年1月30日修正實施之「中華民國教育程度標準分類」，「五專前三年肄業」移至高級中等「職業教育（高職）」項下。</t>
        </r>
      </text>
    </comment>
  </commentList>
</comments>
</file>

<file path=xl/sharedStrings.xml><?xml version="1.0" encoding="utf-8"?>
<sst xmlns="http://schemas.openxmlformats.org/spreadsheetml/2006/main" count="672" uniqueCount="336">
  <si>
    <t xml:space="preserve"> 項目名稱</t>
  </si>
  <si>
    <t>複分類項目</t>
  </si>
  <si>
    <t>複分類別</t>
  </si>
  <si>
    <t>一一四年底</t>
  </si>
  <si>
    <t>男</t>
  </si>
  <si>
    <t>女</t>
  </si>
  <si>
    <r>
      <t>總人口數</t>
    </r>
    <r>
      <rPr>
        <sz val="12"/>
        <color theme="1"/>
        <rFont val="新細明體"/>
        <family val="2"/>
        <charset val="136"/>
        <scheme val="minor"/>
      </rPr>
      <t>(</t>
    </r>
    <r>
      <rPr>
        <sz val="9"/>
        <color rgb="FF000000"/>
        <rFont val="標楷體"/>
        <charset val="136"/>
      </rPr>
      <t>人</t>
    </r>
    <r>
      <rPr>
        <sz val="12"/>
        <color theme="1"/>
        <rFont val="新細明體"/>
        <family val="2"/>
        <charset val="136"/>
        <scheme val="minor"/>
      </rPr>
      <t>)</t>
    </r>
  </si>
  <si>
    <t>縣市別</t>
  </si>
  <si>
    <t>總    計</t>
  </si>
  <si>
    <t>新 北 市</t>
  </si>
  <si>
    <t>臺 北 市</t>
  </si>
  <si>
    <t>桃 園 市</t>
  </si>
  <si>
    <t>臺 中 市</t>
  </si>
  <si>
    <t>臺 南 市</t>
  </si>
  <si>
    <t>高 雄 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</si>
  <si>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</si>
  <si>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</si>
  <si>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</si>
  <si>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</si>
  <si>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</si>
  <si>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</si>
  <si>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</si>
  <si>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</si>
  <si>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</si>
  <si>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</si>
  <si>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</si>
  <si>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</si>
  <si>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</si>
  <si>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</si>
  <si>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</si>
  <si>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</si>
  <si>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r>
      <t>總人口數</t>
    </r>
    <r>
      <rPr>
        <sz val="12"/>
        <color theme="1"/>
        <rFont val="新細明體"/>
        <family val="2"/>
        <charset val="136"/>
        <scheme val="minor"/>
      </rPr>
      <t xml:space="preserve">   (</t>
    </r>
    <r>
      <rPr>
        <sz val="9"/>
        <color rgb="FF000000"/>
        <rFont val="標楷體"/>
        <charset val="136"/>
      </rPr>
      <t>人</t>
    </r>
    <r>
      <rPr>
        <sz val="12"/>
        <color theme="1"/>
        <rFont val="新細明體"/>
        <family val="2"/>
        <charset val="136"/>
        <scheme val="minor"/>
      </rPr>
      <t>)</t>
    </r>
  </si>
  <si>
    <t>年齡別</t>
  </si>
  <si>
    <t>總計</t>
  </si>
  <si>
    <t>0－4歲</t>
  </si>
  <si>
    <t>5－9歲</t>
  </si>
  <si>
    <t>10－14歲</t>
  </si>
  <si>
    <t>15－19歲</t>
  </si>
  <si>
    <t>20－24歲</t>
  </si>
  <si>
    <t>25－29歲</t>
  </si>
  <si>
    <t>30－34歲</t>
  </si>
  <si>
    <t>35－39歲</t>
  </si>
  <si>
    <t>40－44歲</t>
  </si>
  <si>
    <t>45－49歲</t>
  </si>
  <si>
    <t>50－54歲</t>
  </si>
  <si>
    <t>55－59歲</t>
  </si>
  <si>
    <t>60－64歲</t>
  </si>
  <si>
    <t>65－69歲</t>
  </si>
  <si>
    <t>70－74歲</t>
  </si>
  <si>
    <t>75－79歲</t>
  </si>
  <si>
    <t>80－84歲</t>
  </si>
  <si>
    <t>85－89歲</t>
  </si>
  <si>
    <t>90－94歲</t>
  </si>
  <si>
    <t>95－99歲</t>
  </si>
  <si>
    <t>100歲以上</t>
  </si>
  <si>
    <r>
      <t>十五歲以上者人口數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9"/>
        <color rgb="FF000000"/>
        <rFont val="標楷體"/>
        <charset val="136"/>
      </rPr>
      <t>人</t>
    </r>
    <r>
      <rPr>
        <sz val="12"/>
        <color theme="1"/>
        <rFont val="新細明體"/>
        <family val="2"/>
        <charset val="136"/>
        <scheme val="minor"/>
      </rPr>
      <t>)</t>
    </r>
  </si>
  <si>
    <r>
      <t>教育程度別</t>
    </r>
    <r>
      <rPr>
        <sz val="12"/>
        <color theme="1"/>
        <rFont val="新細明體"/>
        <family val="2"/>
        <charset val="136"/>
        <scheme val="minor"/>
      </rPr>
      <t>(</t>
    </r>
    <r>
      <rPr>
        <sz val="8"/>
        <color rgb="FF000000"/>
        <rFont val="標楷體"/>
        <charset val="136"/>
      </rPr>
      <t>含畢業、肄業</t>
    </r>
    <r>
      <rPr>
        <sz val="8"/>
        <color rgb="FF000000"/>
        <rFont val="Times New Roman"/>
        <family val="1"/>
      </rPr>
      <t>)</t>
    </r>
  </si>
  <si>
    <r>
      <t>15</t>
    </r>
    <r>
      <rPr>
        <b/>
        <sz val="9"/>
        <color rgb="FF000000"/>
        <rFont val="標楷體"/>
        <charset val="136"/>
      </rPr>
      <t>歲以上總計</t>
    </r>
  </si>
  <si>
    <t>博士</t>
  </si>
  <si>
    <t>碩士</t>
  </si>
  <si>
    <t>大學</t>
  </si>
  <si>
    <t>專科二、三年制</t>
  </si>
  <si>
    <t>專科五年制後二年</t>
  </si>
  <si>
    <t>專科五年制前三年</t>
  </si>
  <si>
    <t>高中(職)含師範</t>
  </si>
  <si>
    <t>國(初)中</t>
  </si>
  <si>
    <t>國小</t>
  </si>
  <si>
    <t>自修</t>
  </si>
  <si>
    <t>不識字</t>
  </si>
  <si>
    <t>婚姻狀況別</t>
  </si>
  <si>
    <t>未婚</t>
  </si>
  <si>
    <t>有偶</t>
  </si>
  <si>
    <t>離婚</t>
  </si>
  <si>
    <t>喪偶</t>
  </si>
  <si>
    <t>各縣市人口比例</t>
    <phoneticPr fontId="3" type="noConversion"/>
  </si>
  <si>
    <t>居住地</t>
    <phoneticPr fontId="3" type="noConversion"/>
  </si>
  <si>
    <t>人口數</t>
    <phoneticPr fontId="3" type="noConversion"/>
  </si>
  <si>
    <t>男女比</t>
    <phoneticPr fontId="3" type="noConversion"/>
  </si>
  <si>
    <t>人口佔比</t>
    <phoneticPr fontId="3" type="noConversion"/>
  </si>
  <si>
    <t>居住地x教育程度</t>
    <phoneticPr fontId="3" type="noConversion"/>
  </si>
  <si>
    <t>居住地x職業</t>
    <phoneticPr fontId="3" type="noConversion"/>
  </si>
  <si>
    <t>居住地x媒體使用習慣</t>
    <phoneticPr fontId="3" type="noConversion"/>
  </si>
  <si>
    <t>各縣市人口</t>
    <phoneticPr fontId="3" type="noConversion"/>
  </si>
  <si>
    <t>男女佔比</t>
    <phoneticPr fontId="3" type="noConversion"/>
  </si>
  <si>
    <t>女</t>
    <phoneticPr fontId="3" type="noConversion"/>
  </si>
  <si>
    <t>男</t>
    <phoneticPr fontId="3" type="noConversion"/>
  </si>
  <si>
    <t>居住地x年齡</t>
    <phoneticPr fontId="3" type="noConversion"/>
  </si>
  <si>
    <t>區域別</t>
  </si>
  <si>
    <t>總     計</t>
  </si>
  <si>
    <t>0 ～ 4歲</t>
  </si>
  <si>
    <t>計</t>
  </si>
  <si>
    <t>％</t>
  </si>
  <si>
    <t>新北市</t>
  </si>
  <si>
    <t>臺北市</t>
  </si>
  <si>
    <t>桃園市</t>
  </si>
  <si>
    <t>臺中市</t>
  </si>
  <si>
    <t>臺南市</t>
  </si>
  <si>
    <t>高雄市</t>
  </si>
  <si>
    <t>各縣市　十五歲以上現住人口數按性別、年齡及教育程度分</t>
  </si>
  <si>
    <t>中華民國114年底</t>
  </si>
  <si>
    <t>單位：人</t>
  </si>
  <si>
    <t>區　域　別</t>
  </si>
  <si>
    <t>識　　　　　　　　　　　　　　　　　字　　　　　　　　　　　　　　　　　者</t>
  </si>
  <si>
    <t>不 識 字 者</t>
  </si>
  <si>
    <t>合　　計</t>
  </si>
  <si>
    <t>研　　 究　　 所</t>
  </si>
  <si>
    <t>大　　　　　學</t>
  </si>
  <si>
    <t>專　　　　　　　科</t>
  </si>
  <si>
    <t>高　　級　　中　　等</t>
  </si>
  <si>
    <t>國　　　　　中</t>
  </si>
  <si>
    <t>初　　　　　職</t>
  </si>
  <si>
    <t>國　　　　　小</t>
  </si>
  <si>
    <t>自　修</t>
  </si>
  <si>
    <t>性別</t>
  </si>
  <si>
    <t>總　　計</t>
  </si>
  <si>
    <t>博　　　　士</t>
  </si>
  <si>
    <t>碩　　　　士</t>
  </si>
  <si>
    <t>二   、   三   年   制</t>
  </si>
  <si>
    <t>五年制後二年</t>
  </si>
  <si>
    <t>普通教育（高中）</t>
  </si>
  <si>
    <t>職業教育（高職）</t>
  </si>
  <si>
    <t>畢  業</t>
  </si>
  <si>
    <t>肄  業</t>
  </si>
  <si>
    <t>五專前三年肄業</t>
  </si>
  <si>
    <t>　       　　</t>
  </si>
  <si>
    <t>總　計</t>
  </si>
  <si>
    <r>
      <t xml:space="preserve">0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6</t>
    </r>
    <r>
      <rPr>
        <sz val="12"/>
        <rFont val="細明體"/>
        <family val="1"/>
        <charset val="136"/>
      </rPr>
      <t>歲</t>
    </r>
  </si>
  <si>
    <r>
      <t xml:space="preserve">0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11</t>
    </r>
    <r>
      <rPr>
        <sz val="12"/>
        <rFont val="細明體"/>
        <family val="1"/>
        <charset val="136"/>
      </rPr>
      <t>歲</t>
    </r>
  </si>
  <si>
    <r>
      <t xml:space="preserve">0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12</t>
    </r>
    <r>
      <rPr>
        <sz val="12"/>
        <rFont val="細明體"/>
        <family val="1"/>
        <charset val="136"/>
      </rPr>
      <t>歲</t>
    </r>
  </si>
  <si>
    <r>
      <t xml:space="preserve">12 </t>
    </r>
    <r>
      <rPr>
        <sz val="12"/>
        <rFont val="細明體"/>
        <family val="1"/>
        <charset val="136"/>
      </rPr>
      <t>～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rFont val="Times New Roman"/>
        <family val="1"/>
      </rPr>
      <t>17</t>
    </r>
    <r>
      <rPr>
        <sz val="12"/>
        <rFont val="細明體"/>
        <family val="1"/>
        <charset val="136"/>
      </rPr>
      <t>歲</t>
    </r>
  </si>
  <si>
    <t xml:space="preserve"> 20歲以上 </t>
  </si>
  <si>
    <r>
      <t>65</t>
    </r>
    <r>
      <rPr>
        <sz val="12"/>
        <rFont val="細明體"/>
        <family val="1"/>
        <charset val="136"/>
      </rPr>
      <t>歲以上</t>
    </r>
  </si>
  <si>
    <t xml:space="preserve"> 總    計 </t>
  </si>
  <si>
    <t>　十五歲以上現住人口數按性別、年齡、婚姻狀況及教育程度分</t>
  </si>
  <si>
    <t>中華民國 113年底</t>
  </si>
  <si>
    <t>婚姻狀況及
婚姻類型</t>
  </si>
  <si>
    <t>總　　　　　　　　　　　　　　　　　　　　計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</si>
  <si>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</si>
  <si>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</si>
  <si>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</si>
  <si>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</si>
  <si>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</si>
  <si>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</si>
  <si>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</si>
  <si>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</si>
  <si>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</si>
  <si>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</si>
  <si>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</si>
  <si>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</si>
  <si>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</si>
  <si>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</si>
  <si>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</si>
  <si>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</si>
  <si>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</si>
  <si>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
以上</t>
  </si>
  <si>
    <t>總　　　　計</t>
  </si>
  <si>
    <t>未　　　　婚</t>
  </si>
  <si>
    <t>有　　　　偶</t>
  </si>
  <si>
    <t>　　不同性別</t>
  </si>
  <si>
    <t>　　相同性別</t>
  </si>
  <si>
    <t>離婚/終止結婚</t>
  </si>
  <si>
    <t>喪　　　　偶</t>
  </si>
  <si>
    <t>備註：司法院釋字第748號解釋施行法自108年5月24日施行後，相同性別2人可至戶政事務所辦理結婚登記及終上結婚登記，爰於婚姻狀況別項下增列婚姻類型。</t>
  </si>
  <si>
    <t>更新日期：2025/3/10</t>
  </si>
  <si>
    <t>年齡x婚姻</t>
    <phoneticPr fontId="3" type="noConversion"/>
  </si>
  <si>
    <t>單位：千人</t>
  </si>
  <si>
    <t>民國１１４年</t>
  </si>
  <si>
    <r>
      <t>Unit</t>
    </r>
    <r>
      <rPr>
        <sz val="8"/>
        <rFont val="細明體"/>
        <family val="3"/>
        <charset val="136"/>
      </rPr>
      <t>：</t>
    </r>
    <r>
      <rPr>
        <sz val="8"/>
        <rFont val="Times New Roman"/>
        <family val="1"/>
      </rPr>
      <t>Thousand Persons</t>
    </r>
  </si>
  <si>
    <t xml:space="preserve">地          區          別      </t>
    <phoneticPr fontId="34" type="noConversion"/>
  </si>
  <si>
    <r>
      <t>總</t>
    </r>
    <r>
      <rPr>
        <sz val="8"/>
        <rFont val="Times New Roman"/>
        <family val="1"/>
      </rPr>
      <t xml:space="preserve"> </t>
    </r>
    <r>
      <rPr>
        <sz val="8"/>
        <rFont val="新細明體"/>
        <family val="1"/>
        <charset val="136"/>
      </rPr>
      <t>計</t>
    </r>
  </si>
  <si>
    <t>民意代表、
主管及經理人員</t>
  </si>
  <si>
    <r>
      <t xml:space="preserve"> </t>
    </r>
    <r>
      <rPr>
        <sz val="8"/>
        <rFont val="新細明體"/>
        <family val="1"/>
        <charset val="136"/>
      </rPr>
      <t>專業人員</t>
    </r>
  </si>
  <si>
    <r>
      <t xml:space="preserve"> </t>
    </r>
    <r>
      <rPr>
        <sz val="8"/>
        <rFont val="新細明體"/>
        <family val="1"/>
        <charset val="136"/>
      </rPr>
      <t>技術員及助理專業人員</t>
    </r>
  </si>
  <si>
    <t>事務支援人員</t>
    <phoneticPr fontId="3" type="noConversion"/>
  </si>
  <si>
    <t>服務及銷售工作人員</t>
    <phoneticPr fontId="3" type="noConversion"/>
  </si>
  <si>
    <t>農、林、漁、牧業
生產人員</t>
  </si>
  <si>
    <t>技藝有關工作人員、
機械設備操作及勞力工</t>
  </si>
  <si>
    <t>District ( or Region )</t>
    <phoneticPr fontId="3" type="noConversion"/>
  </si>
  <si>
    <t>Legislators, Senior Officials &amp; 
Managers</t>
    <phoneticPr fontId="3" type="noConversion"/>
  </si>
  <si>
    <t>Professionals</t>
  </si>
  <si>
    <t xml:space="preserve">Technicians &amp; Associate Professionals </t>
  </si>
  <si>
    <t>Clerical Support Workers</t>
    <phoneticPr fontId="3" type="noConversion"/>
  </si>
  <si>
    <t>Service &amp; Sales Workers</t>
    <phoneticPr fontId="3" type="noConversion"/>
  </si>
  <si>
    <t xml:space="preserve">   Skilled Agricultural, Forestry &amp; Fishery Workers</t>
  </si>
  <si>
    <t>Craft &amp; Machine Operation Related Workers</t>
  </si>
  <si>
    <t xml:space="preserve">Total </t>
  </si>
  <si>
    <t>Male</t>
  </si>
  <si>
    <t>Female</t>
  </si>
  <si>
    <t>合計</t>
    <phoneticPr fontId="3" type="noConversion"/>
  </si>
  <si>
    <r>
      <t>臺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灣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地</t>
    </r>
    <r>
      <rPr>
        <sz val="8"/>
        <rFont val="Times New Roman"/>
        <family val="1"/>
      </rPr>
      <t xml:space="preserve">       </t>
    </r>
    <r>
      <rPr>
        <sz val="8"/>
        <rFont val="新細明體"/>
        <family val="1"/>
        <charset val="136"/>
      </rPr>
      <t>區</t>
    </r>
    <r>
      <rPr>
        <sz val="8"/>
        <rFont val="Times New Roman"/>
        <family val="1"/>
      </rPr>
      <t xml:space="preserve">  </t>
    </r>
  </si>
  <si>
    <t xml:space="preserve">  Taiwan Area             </t>
  </si>
  <si>
    <r>
      <t xml:space="preserve">     </t>
    </r>
    <r>
      <rPr>
        <sz val="8"/>
        <rFont val="新細明體"/>
        <family val="1"/>
        <charset val="136"/>
      </rPr>
      <t>北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部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地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區</t>
    </r>
    <r>
      <rPr>
        <sz val="8"/>
        <rFont val="Times New Roman"/>
        <family val="1"/>
      </rPr>
      <t xml:space="preserve"> </t>
    </r>
  </si>
  <si>
    <t xml:space="preserve">      Northern Region       </t>
    <phoneticPr fontId="3" type="noConversion"/>
  </si>
  <si>
    <r>
      <t xml:space="preserve">           </t>
    </r>
    <r>
      <rPr>
        <sz val="8"/>
        <rFont val="新細明體"/>
        <family val="1"/>
        <charset val="136"/>
      </rPr>
      <t>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</si>
  <si>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New Taipei City  </t>
  </si>
  <si>
    <r>
      <t xml:space="preserve">           </t>
    </r>
    <r>
      <rPr>
        <sz val="8"/>
        <rFont val="細明體"/>
        <family val="3"/>
        <charset val="136"/>
      </rPr>
      <t>臺</t>
    </r>
    <r>
      <rPr>
        <sz val="8"/>
        <rFont val="Times New Roman"/>
        <family val="1"/>
      </rPr>
      <t xml:space="preserve">        </t>
    </r>
    <r>
      <rPr>
        <sz val="8"/>
        <rFont val="細明體"/>
        <family val="3"/>
        <charset val="136"/>
      </rPr>
      <t>北</t>
    </r>
    <r>
      <rPr>
        <sz val="8"/>
        <rFont val="Times New Roman"/>
        <family val="1"/>
      </rPr>
      <t xml:space="preserve">       </t>
    </r>
    <r>
      <rPr>
        <sz val="8"/>
        <rFont val="細明體"/>
        <family val="3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</si>
  <si>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Taipei City   </t>
  </si>
  <si>
    <r>
      <t xml:space="preserve">           </t>
    </r>
    <r>
      <rPr>
        <sz val="8"/>
        <rFont val="新細明體"/>
        <family val="1"/>
        <charset val="136"/>
      </rPr>
      <t>桃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園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  <phoneticPr fontId="3" type="noConversion"/>
  </si>
  <si>
    <t xml:space="preserve">           Taoyuan City         </t>
    <phoneticPr fontId="3" type="noConversion"/>
  </si>
  <si>
    <r>
      <t xml:space="preserve">           </t>
    </r>
    <r>
      <rPr>
        <sz val="8"/>
        <rFont val="新細明體"/>
        <family val="1"/>
        <charset val="136"/>
      </rPr>
      <t>基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隆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</si>
  <si>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Keelung City          </t>
  </si>
  <si>
    <r>
      <t xml:space="preserve">           </t>
    </r>
    <r>
      <rPr>
        <sz val="8"/>
        <rFont val="新細明體"/>
        <family val="1"/>
        <charset val="136"/>
      </rPr>
      <t>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竹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</si>
  <si>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Hsinchu City          </t>
  </si>
  <si>
    <r>
      <t xml:space="preserve">           </t>
    </r>
    <r>
      <rPr>
        <sz val="8"/>
        <rFont val="新細明體"/>
        <family val="1"/>
        <charset val="136"/>
      </rPr>
      <t>宜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蘭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</si>
  <si>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Yilan County            </t>
  </si>
  <si>
    <r>
      <t xml:space="preserve">           </t>
    </r>
    <r>
      <rPr>
        <sz val="8"/>
        <rFont val="新細明體"/>
        <family val="1"/>
        <charset val="136"/>
      </rPr>
      <t>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竹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</si>
  <si>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Hsinchu County         </t>
  </si>
  <si>
    <r>
      <t xml:space="preserve">     </t>
    </r>
    <r>
      <rPr>
        <sz val="8"/>
        <rFont val="新細明體"/>
        <family val="1"/>
        <charset val="136"/>
      </rPr>
      <t>中</t>
    </r>
    <r>
      <rPr>
        <sz val="8"/>
        <rFont val="Times New Roman"/>
        <family val="1"/>
      </rPr>
      <t xml:space="preserve">     </t>
    </r>
    <r>
      <rPr>
        <sz val="8"/>
        <rFont val="新細明體"/>
        <family val="1"/>
        <charset val="136"/>
      </rPr>
      <t>部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區</t>
    </r>
  </si>
  <si>
    <t xml:space="preserve">      Central Region        </t>
    <phoneticPr fontId="3" type="noConversion"/>
  </si>
  <si>
    <r>
      <t xml:space="preserve">           </t>
    </r>
    <r>
      <rPr>
        <sz val="8"/>
        <rFont val="新細明體"/>
        <family val="1"/>
        <charset val="136"/>
      </rPr>
      <t>臺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中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</si>
  <si>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Taichung City         </t>
  </si>
  <si>
    <r>
      <t xml:space="preserve">           </t>
    </r>
    <r>
      <rPr>
        <sz val="8"/>
        <rFont val="新細明體"/>
        <family val="1"/>
        <charset val="136"/>
      </rPr>
      <t>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</si>
  <si>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Miaoli County          </t>
  </si>
  <si>
    <r>
      <t xml:space="preserve">           </t>
    </r>
    <r>
      <rPr>
        <sz val="8"/>
        <rFont val="新細明體"/>
        <family val="1"/>
        <charset val="136"/>
      </rPr>
      <t>彰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化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</si>
  <si>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Changhua County        </t>
  </si>
  <si>
    <r>
      <t xml:space="preserve">           </t>
    </r>
    <r>
      <rPr>
        <sz val="8"/>
        <rFont val="新細明體"/>
        <family val="1"/>
        <charset val="136"/>
      </rPr>
      <t>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投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</si>
  <si>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Nantou County          </t>
  </si>
  <si>
    <r>
      <t xml:space="preserve">           </t>
    </r>
    <r>
      <rPr>
        <sz val="8"/>
        <rFont val="新細明體"/>
        <family val="1"/>
        <charset val="136"/>
      </rPr>
      <t>雲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</si>
  <si>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Yunlin County          </t>
  </si>
  <si>
    <r>
      <t xml:space="preserve">     </t>
    </r>
    <r>
      <rPr>
        <sz val="8"/>
        <rFont val="新細明體"/>
        <family val="1"/>
        <charset val="136"/>
      </rPr>
      <t>南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部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地</t>
    </r>
    <r>
      <rPr>
        <sz val="8"/>
        <rFont val="Times New Roman"/>
        <family val="1"/>
      </rPr>
      <t xml:space="preserve">       </t>
    </r>
    <r>
      <rPr>
        <sz val="8"/>
        <rFont val="新細明體"/>
        <family val="1"/>
        <charset val="136"/>
      </rPr>
      <t>區</t>
    </r>
    <r>
      <rPr>
        <sz val="8"/>
        <rFont val="Times New Roman"/>
        <family val="1"/>
      </rPr>
      <t xml:space="preserve"> </t>
    </r>
  </si>
  <si>
    <t xml:space="preserve">     Southern Region       </t>
    <phoneticPr fontId="3" type="noConversion"/>
  </si>
  <si>
    <r>
      <t xml:space="preserve">          </t>
    </r>
    <r>
      <rPr>
        <sz val="8"/>
        <rFont val="新細明體"/>
        <family val="1"/>
        <charset val="136"/>
      </rPr>
      <t>臺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南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</si>
  <si>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Tainan City    </t>
  </si>
  <si>
    <r>
      <t xml:space="preserve">          </t>
    </r>
    <r>
      <rPr>
        <sz val="8"/>
        <rFont val="新細明體"/>
        <family val="1"/>
        <charset val="136"/>
      </rPr>
      <t>高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雄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</si>
  <si>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Kaohsiung City</t>
  </si>
  <si>
    <r>
      <t xml:space="preserve">          </t>
    </r>
    <r>
      <rPr>
        <sz val="8"/>
        <rFont val="新細明體"/>
        <family val="1"/>
        <charset val="136"/>
      </rPr>
      <t>嘉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義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市</t>
    </r>
    <r>
      <rPr>
        <sz val="8"/>
        <rFont val="Times New Roman"/>
        <family val="1"/>
      </rPr>
      <t xml:space="preserve"> </t>
    </r>
  </si>
  <si>
    <t xml:space="preserve">           Chiayi City           </t>
  </si>
  <si>
    <r>
      <t xml:space="preserve">          </t>
    </r>
    <r>
      <rPr>
        <sz val="8"/>
        <rFont val="新細明體"/>
        <family val="1"/>
        <charset val="136"/>
      </rPr>
      <t>嘉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義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</si>
  <si>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Chiayi County          </t>
  </si>
  <si>
    <r>
      <t xml:space="preserve">          </t>
    </r>
    <r>
      <rPr>
        <sz val="8"/>
        <rFont val="新細明體"/>
        <family val="1"/>
        <charset val="136"/>
      </rPr>
      <t>屏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東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</si>
  <si>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Pingtung County        </t>
  </si>
  <si>
    <r>
      <t xml:space="preserve">          </t>
    </r>
    <r>
      <rPr>
        <sz val="8"/>
        <rFont val="新細明體"/>
        <family val="1"/>
        <charset val="136"/>
      </rPr>
      <t>澎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湖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</si>
  <si>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Penghu County</t>
  </si>
  <si>
    <r>
      <t xml:space="preserve">     </t>
    </r>
    <r>
      <rPr>
        <sz val="8"/>
        <rFont val="新細明體"/>
        <family val="1"/>
        <charset val="136"/>
      </rPr>
      <t>東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部</t>
    </r>
    <r>
      <rPr>
        <sz val="8"/>
        <rFont val="Times New Roman"/>
        <family val="1"/>
      </rPr>
      <t xml:space="preserve">      </t>
    </r>
    <r>
      <rPr>
        <sz val="8"/>
        <rFont val="新細明體"/>
        <family val="1"/>
        <charset val="136"/>
      </rPr>
      <t>地</t>
    </r>
    <r>
      <rPr>
        <sz val="8"/>
        <rFont val="Times New Roman"/>
        <family val="1"/>
      </rPr>
      <t xml:space="preserve">       </t>
    </r>
    <r>
      <rPr>
        <sz val="8"/>
        <rFont val="新細明體"/>
        <family val="1"/>
        <charset val="136"/>
      </rPr>
      <t>區</t>
    </r>
    <r>
      <rPr>
        <sz val="8"/>
        <rFont val="Times New Roman"/>
        <family val="1"/>
      </rPr>
      <t xml:space="preserve"> </t>
    </r>
  </si>
  <si>
    <t xml:space="preserve">     Eastern Region        </t>
    <phoneticPr fontId="3" type="noConversion"/>
  </si>
  <si>
    <r>
      <t xml:space="preserve">          </t>
    </r>
    <r>
      <rPr>
        <sz val="8"/>
        <rFont val="新細明體"/>
        <family val="1"/>
        <charset val="136"/>
      </rPr>
      <t>臺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東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</si>
  <si>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Taitung County         </t>
  </si>
  <si>
    <r>
      <t xml:space="preserve">          </t>
    </r>
    <r>
      <rPr>
        <sz val="8"/>
        <rFont val="新細明體"/>
        <family val="1"/>
        <charset val="136"/>
      </rPr>
      <t>花</t>
    </r>
    <r>
      <rPr>
        <sz val="8"/>
        <rFont val="Times New Roman"/>
        <family val="1"/>
      </rPr>
      <t xml:space="preserve">         </t>
    </r>
    <r>
      <rPr>
        <sz val="8"/>
        <rFont val="新細明體"/>
        <family val="1"/>
        <charset val="136"/>
      </rPr>
      <t>蓮</t>
    </r>
    <r>
      <rPr>
        <sz val="8"/>
        <rFont val="Times New Roman"/>
        <family val="1"/>
      </rPr>
      <t xml:space="preserve">        </t>
    </r>
    <r>
      <rPr>
        <sz val="8"/>
        <rFont val="新細明體"/>
        <family val="1"/>
        <charset val="136"/>
      </rPr>
      <t>縣</t>
    </r>
    <r>
      <rPr>
        <sz val="8"/>
        <rFont val="Times New Roman"/>
        <family val="1"/>
      </rPr>
      <t xml:space="preserve"> </t>
    </r>
  </si>
  <si>
    <t xml:space="preserve">           Hualien County         </t>
  </si>
  <si>
    <t>https://www.stat.gov.tw/News_Content.aspx?n=4001&amp;s=236078</t>
    <phoneticPr fontId="3" type="noConversion"/>
  </si>
  <si>
    <r>
      <rPr>
        <sz val="8"/>
        <rFont val="微軟正黑體"/>
        <family val="2"/>
        <charset val="136"/>
      </rPr>
      <t>中華民國統計資訊網</t>
    </r>
    <phoneticPr fontId="3" type="noConversion"/>
  </si>
  <si>
    <t>就業者之職業</t>
    <phoneticPr fontId="3" type="noConversion"/>
  </si>
  <si>
    <t>樣本數</t>
  </si>
  <si>
    <t>合計</t>
  </si>
  <si>
    <t>LINE</t>
  </si>
  <si>
    <t>Facebook</t>
  </si>
  <si>
    <t>YouTube</t>
  </si>
  <si>
    <t>Instagram</t>
  </si>
  <si>
    <t>TikTok</t>
  </si>
  <si>
    <t>小紅書</t>
  </si>
  <si>
    <t>WeChat</t>
  </si>
  <si>
    <t>Threads</t>
  </si>
  <si>
    <t>X(前身為Twitter)</t>
  </si>
  <si>
    <t>WhatsApp</t>
  </si>
  <si>
    <t>Telegram</t>
  </si>
  <si>
    <t>Pinterest</t>
  </si>
  <si>
    <t>LinkedIn</t>
  </si>
  <si>
    <t>Tumblr</t>
  </si>
  <si>
    <t>SnapChat</t>
  </si>
  <si>
    <t>現在都沒有在使用了</t>
  </si>
  <si>
    <t>不知道</t>
  </si>
  <si>
    <t>居住地區</t>
    <phoneticPr fontId="41" type="noConversion"/>
  </si>
  <si>
    <t>北北基</t>
  </si>
  <si>
    <t>桃竹苗</t>
  </si>
  <si>
    <t>中彰投</t>
  </si>
  <si>
    <t>雲嘉南</t>
  </si>
  <si>
    <t>高屏澎</t>
  </si>
  <si>
    <t>宜花東</t>
  </si>
  <si>
    <t>男性</t>
  </si>
  <si>
    <t>女性</t>
  </si>
  <si>
    <t>年齡</t>
    <phoneticPr fontId="41" type="noConversion"/>
  </si>
  <si>
    <t>16-25歲</t>
  </si>
  <si>
    <t>26-35歲</t>
  </si>
  <si>
    <t>36-45歲</t>
  </si>
  <si>
    <t>46-55歲</t>
  </si>
  <si>
    <t>56-65歲</t>
  </si>
  <si>
    <t>66歲及以上</t>
  </si>
  <si>
    <t>婚姻狀況</t>
    <phoneticPr fontId="41" type="noConversion"/>
  </si>
  <si>
    <t>已婚</t>
  </si>
  <si>
    <t>鰥寡/分居</t>
  </si>
  <si>
    <t>不知道/拒答</t>
  </si>
  <si>
    <t>居住狀況</t>
    <phoneticPr fontId="41" type="noConversion"/>
  </si>
  <si>
    <t>自有房屋</t>
  </si>
  <si>
    <t>租屋</t>
  </si>
  <si>
    <t>教育程度</t>
    <phoneticPr fontId="41" type="noConversion"/>
  </si>
  <si>
    <t>小學及以下</t>
  </si>
  <si>
    <t>國中或初中</t>
  </si>
  <si>
    <t>高中職(含五專前三年)</t>
  </si>
  <si>
    <t>專科</t>
  </si>
  <si>
    <t>碩士以上</t>
  </si>
  <si>
    <t>職業</t>
    <phoneticPr fontId="41" type="noConversion"/>
  </si>
  <si>
    <t>農、林、漁、牧業</t>
  </si>
  <si>
    <t>礦業及土石採取業</t>
  </si>
  <si>
    <t>製造業</t>
  </si>
  <si>
    <t>電力及燃氣供應業</t>
  </si>
  <si>
    <t>營建工程業</t>
  </si>
  <si>
    <t>批發及零售業</t>
  </si>
  <si>
    <t>運輸及倉儲業</t>
  </si>
  <si>
    <t>住宿及餐飲業</t>
  </si>
  <si>
    <t>出版影音及資通訊業</t>
  </si>
  <si>
    <t>金融及保險業</t>
  </si>
  <si>
    <t>不動產業</t>
  </si>
  <si>
    <t>專業、科學及技術服務業</t>
  </si>
  <si>
    <t>支援服務業</t>
  </si>
  <si>
    <t>教育業</t>
  </si>
  <si>
    <t>公共行政及國防；強制性社會安全</t>
  </si>
  <si>
    <t>醫療保健及社會工作服務業</t>
  </si>
  <si>
    <t>藝術、娛樂及休閒服務業</t>
  </si>
  <si>
    <t>其他服務業</t>
  </si>
  <si>
    <t>家管</t>
  </si>
  <si>
    <t>學生</t>
  </si>
  <si>
    <t>退休</t>
  </si>
  <si>
    <t>在找尋工作或等待恢復工作而無報酬者</t>
  </si>
  <si>
    <t>個人平均月收入</t>
    <phoneticPr fontId="41" type="noConversion"/>
  </si>
  <si>
    <t>無收入</t>
    <phoneticPr fontId="3" type="noConversion"/>
  </si>
  <si>
    <t>未滿1萬元</t>
  </si>
  <si>
    <t>1萬-未滿2萬元</t>
  </si>
  <si>
    <t>2萬-未滿3萬元</t>
  </si>
  <si>
    <t>3萬-未滿4萬元</t>
  </si>
  <si>
    <t>4萬-未滿5萬元</t>
  </si>
  <si>
    <t>5萬-未滿6萬元</t>
  </si>
  <si>
    <t>6萬元以上</t>
  </si>
  <si>
    <t>國家通訊傳播委員會</t>
    <phoneticPr fontId="3" type="noConversion"/>
  </si>
  <si>
    <t>https://commsurvey-chart.ncc.gov.tw/xcstat?xsmsid=0N318406527047621001&amp;qcat=0M360696004833715309</t>
    <phoneticPr fontId="3" type="noConversion"/>
  </si>
  <si>
    <t>社群媒體使用行為與感受</t>
    <phoneticPr fontId="3" type="noConversion"/>
  </si>
  <si>
    <t>2025年</t>
    <phoneticPr fontId="3" type="noConversion"/>
  </si>
  <si>
    <t>https://www.moi.gov.tw/cl.aspx?n=15373</t>
    <phoneticPr fontId="3" type="noConversion"/>
  </si>
  <si>
    <t>15歲以上者按年齡教育婚姻</t>
    <phoneticPr fontId="3" type="noConversion"/>
  </si>
  <si>
    <t>https://www.ris.gov.tw/app/portal/346</t>
    <phoneticPr fontId="3" type="noConversion"/>
  </si>
  <si>
    <t>內政部戶政司</t>
    <phoneticPr fontId="3" type="noConversion"/>
  </si>
  <si>
    <t>縣市人口年齡結構指標</t>
    <phoneticPr fontId="3" type="noConversion"/>
  </si>
  <si>
    <t>https://www.moi.gov.tw/cl.aspx?n=15369</t>
  </si>
  <si>
    <t>現住人口結構</t>
    <phoneticPr fontId="3" type="noConversion"/>
  </si>
  <si>
    <t>內政部人口統計</t>
    <phoneticPr fontId="3" type="noConversion"/>
  </si>
  <si>
    <t>15歲以上者按縣市與教育、識字率</t>
    <phoneticPr fontId="3" type="noConversion"/>
  </si>
  <si>
    <r>
      <rPr>
        <sz val="12"/>
        <color theme="1"/>
        <rFont val="新細明體"/>
        <family val="2"/>
        <charset val="136"/>
        <scheme val="minor"/>
      </rPr>
      <t>內政部人口統計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</si>
</sst>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%"/>
    <numFmt numFmtId="177" formatCode="_(* #,##0_);_(* \(#,##0\);_(* \-_);_(@_)"/>
    <numFmt numFmtId="178" formatCode="#,##0;&quot;–&quot;#,##0;&quot;—&quot;"/>
    <numFmt numFmtId="179" formatCode="#,##0.00;&quot;–&quot;#,##0.00;&quot;—&quot;"/>
    <numFmt numFmtId="184" formatCode="#,##0;&quot;-&quot;#,##0"/>
    <numFmt numFmtId="185" formatCode="#,##0.0&quot; &quot;;&quot;(&quot;#,##0.0&quot;)&quot;"/>
    <numFmt numFmtId="186" formatCode="&quot; &quot;* #,##0&quot; &quot;;&quot; &quot;* &quot;(&quot;#,##0&quot;)&quot;;&quot; &quot;* &quot;- &quot;;&quot; &quot;@&quot; &quot;"/>
    <numFmt numFmtId="187" formatCode="#,##0;&quot;-&quot;#,##0;&quot;－&quot;"/>
    <numFmt numFmtId="188" formatCode=";&quot;''&quot;;"/>
    <numFmt numFmtId="189" formatCode="###\ ##0"/>
    <numFmt numFmtId="190" formatCode="###0"/>
  </numFmts>
  <fonts count="4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color rgb="FF000000"/>
      <name val="標楷體"/>
      <charset val="136"/>
    </font>
    <font>
      <b/>
      <sz val="9"/>
      <color rgb="FF000000"/>
      <name val="標楷體"/>
      <charset val="136"/>
    </font>
    <font>
      <b/>
      <sz val="9"/>
      <color rgb="FF000000"/>
      <name val="Times New Roman"/>
      <family val="1"/>
    </font>
    <font>
      <b/>
      <sz val="9"/>
      <color rgb="FF0000FF"/>
      <name val="Times New Roman"/>
      <family val="1"/>
    </font>
    <font>
      <sz val="9"/>
      <color rgb="FF0000FF"/>
      <name val="Times New Roman"/>
      <family val="1"/>
    </font>
    <font>
      <sz val="8"/>
      <color rgb="FF000000"/>
      <name val="標楷體"/>
      <charset val="136"/>
    </font>
    <font>
      <sz val="8"/>
      <color rgb="FF000000"/>
      <name val="Times New Roman"/>
      <family val="1"/>
    </font>
    <font>
      <sz val="12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Courier"/>
      <family val="1"/>
    </font>
    <font>
      <b/>
      <sz val="16"/>
      <color rgb="FF000000"/>
      <name val="細明體"/>
      <family val="1"/>
      <charset val="136"/>
    </font>
    <font>
      <sz val="12"/>
      <color rgb="FF000000"/>
      <name val="新細明體"/>
      <family val="1"/>
      <charset val="136"/>
    </font>
    <font>
      <b/>
      <sz val="18"/>
      <color rgb="FF000000"/>
      <name val="新細明體"/>
      <family val="1"/>
      <charset val="136"/>
    </font>
    <font>
      <sz val="12"/>
      <color rgb="FF000000"/>
      <name val="細明體"/>
      <family val="1"/>
      <charset val="136"/>
    </font>
    <font>
      <sz val="12"/>
      <color rgb="FF000000"/>
      <name val="Times New Roman"/>
      <family val="1"/>
    </font>
    <font>
      <sz val="11"/>
      <color rgb="FF000000"/>
      <name val="細明體"/>
      <family val="1"/>
      <charset val="136"/>
    </font>
    <font>
      <sz val="12"/>
      <name val="細明體"/>
      <family val="1"/>
      <charset val="136"/>
    </font>
    <font>
      <sz val="12"/>
      <name val="新細明體"/>
      <family val="1"/>
      <charset val="136"/>
      <scheme val="minor"/>
    </font>
    <font>
      <sz val="13"/>
      <name val="標楷體"/>
      <charset val="136"/>
    </font>
    <font>
      <b/>
      <sz val="12"/>
      <name val="新細明體"/>
      <family val="1"/>
      <charset val="136"/>
      <scheme val="minor"/>
    </font>
    <font>
      <b/>
      <sz val="16"/>
      <color rgb="FF000000"/>
      <name val="標楷體"/>
      <family val="4"/>
      <charset val="136"/>
    </font>
    <font>
      <sz val="14"/>
      <color rgb="FF000000"/>
      <name val="新細明體"/>
      <family val="1"/>
      <charset val="136"/>
    </font>
    <font>
      <b/>
      <sz val="12"/>
      <color rgb="FF000000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sz val="9"/>
      <name val="Times New Roman"/>
      <family val="1"/>
    </font>
    <font>
      <sz val="8"/>
      <name val="微軟正黑體"/>
      <family val="2"/>
      <charset val="136"/>
    </font>
    <font>
      <sz val="8"/>
      <name val="PMingLiU"/>
      <family val="1"/>
      <charset val="136"/>
    </font>
    <font>
      <sz val="10"/>
      <name val="Arial"/>
      <family val="2"/>
    </font>
    <font>
      <sz val="9"/>
      <color indexed="8"/>
      <name val="Arial Unicode MS"/>
      <family val="2"/>
      <charset val="136"/>
    </font>
    <font>
      <sz val="9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/>
    <xf numFmtId="177" fontId="11" fillId="0" borderId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184" fontId="17" fillId="0" borderId="0" applyBorder="0" applyProtection="0"/>
    <xf numFmtId="0" fontId="19" fillId="0" borderId="0" applyNumberFormat="0" applyFont="0" applyBorder="0" applyProtection="0">
      <alignment vertical="center"/>
    </xf>
    <xf numFmtId="186" fontId="19" fillId="0" borderId="0" applyFont="0" applyFill="0" applyBorder="0" applyAlignment="0" applyProtection="0"/>
    <xf numFmtId="0" fontId="19" fillId="0" borderId="0" applyNumberFormat="0" applyFont="0" applyBorder="0" applyProtection="0"/>
    <xf numFmtId="0" fontId="12" fillId="0" borderId="0">
      <alignment vertical="center"/>
    </xf>
    <xf numFmtId="0" fontId="38" fillId="0" borderId="0"/>
  </cellStyleXfs>
  <cellXfs count="19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3" fontId="6" fillId="0" borderId="1" xfId="0" applyNumberFormat="1" applyFont="1" applyBorder="1" applyAlignment="1"/>
    <xf numFmtId="3" fontId="7" fillId="0" borderId="1" xfId="0" applyNumberFormat="1" applyFont="1" applyBorder="1" applyAlignment="1"/>
    <xf numFmtId="0" fontId="4" fillId="0" borderId="1" xfId="0" applyFont="1" applyBorder="1" applyAlignment="1">
      <alignment horizontal="center"/>
    </xf>
    <xf numFmtId="3" fontId="8" fillId="0" borderId="1" xfId="0" applyNumberFormat="1" applyFont="1" applyBorder="1" applyAlignment="1"/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/>
    </xf>
    <xf numFmtId="3" fontId="0" fillId="0" borderId="0" xfId="0" applyNumberFormat="1">
      <alignment vertical="center"/>
    </xf>
    <xf numFmtId="9" fontId="0" fillId="0" borderId="0" xfId="1" applyFont="1">
      <alignment vertical="center"/>
    </xf>
    <xf numFmtId="10" fontId="0" fillId="0" borderId="0" xfId="1" applyNumberFormat="1" applyFont="1">
      <alignment vertical="center"/>
    </xf>
    <xf numFmtId="17" fontId="0" fillId="0" borderId="0" xfId="0" applyNumberFormat="1">
      <alignment vertical="center"/>
    </xf>
    <xf numFmtId="17" fontId="16" fillId="0" borderId="0" xfId="0" applyNumberFormat="1" applyFont="1">
      <alignment vertical="center"/>
    </xf>
    <xf numFmtId="184" fontId="18" fillId="0" borderId="0" xfId="5" applyFont="1" applyAlignment="1" applyProtection="1">
      <alignment horizontal="center"/>
    </xf>
    <xf numFmtId="0" fontId="0" fillId="0" borderId="0" xfId="0" applyAlignment="1"/>
    <xf numFmtId="0" fontId="20" fillId="0" borderId="0" xfId="6" applyFont="1" applyAlignment="1" applyProtection="1">
      <alignment horizontal="center" vertical="center"/>
    </xf>
    <xf numFmtId="0" fontId="21" fillId="0" borderId="12" xfId="6" applyFont="1" applyBorder="1" applyAlignment="1" applyProtection="1">
      <alignment horizontal="center" vertical="center"/>
    </xf>
    <xf numFmtId="0" fontId="0" fillId="0" borderId="0" xfId="6" applyFont="1" applyAlignment="1" applyProtection="1">
      <alignment horizontal="right" vertical="center"/>
    </xf>
    <xf numFmtId="0" fontId="0" fillId="0" borderId="13" xfId="6" applyFont="1" applyBorder="1" applyAlignment="1" applyProtection="1">
      <alignment horizontal="center" vertical="center"/>
    </xf>
    <xf numFmtId="184" fontId="0" fillId="0" borderId="14" xfId="5" applyFont="1" applyBorder="1" applyAlignment="1" applyProtection="1">
      <alignment vertical="center"/>
    </xf>
    <xf numFmtId="184" fontId="0" fillId="0" borderId="1" xfId="5" applyFont="1" applyBorder="1" applyAlignment="1" applyProtection="1">
      <alignment horizontal="center" vertical="center"/>
    </xf>
    <xf numFmtId="184" fontId="0" fillId="0" borderId="15" xfId="5" applyFont="1" applyBorder="1" applyAlignment="1" applyProtection="1">
      <alignment horizontal="center" vertical="center"/>
    </xf>
    <xf numFmtId="184" fontId="0" fillId="0" borderId="16" xfId="5" applyFont="1" applyBorder="1" applyAlignment="1" applyProtection="1">
      <alignment horizontal="center" vertical="center"/>
    </xf>
    <xf numFmtId="184" fontId="0" fillId="0" borderId="17" xfId="5" applyFont="1" applyBorder="1" applyAlignment="1" applyProtection="1">
      <alignment horizontal="center" vertical="center"/>
    </xf>
    <xf numFmtId="184" fontId="21" fillId="0" borderId="1" xfId="5" applyFont="1" applyBorder="1" applyAlignment="1" applyProtection="1">
      <alignment horizontal="center" vertical="center"/>
    </xf>
    <xf numFmtId="184" fontId="0" fillId="0" borderId="16" xfId="5" applyFont="1" applyBorder="1" applyAlignment="1" applyProtection="1">
      <alignment vertical="center"/>
    </xf>
    <xf numFmtId="184" fontId="0" fillId="0" borderId="17" xfId="5" applyFont="1" applyBorder="1" applyAlignment="1" applyProtection="1">
      <alignment vertical="center"/>
    </xf>
    <xf numFmtId="184" fontId="0" fillId="0" borderId="18" xfId="5" applyFont="1" applyBorder="1" applyAlignment="1" applyProtection="1">
      <alignment vertical="center"/>
    </xf>
    <xf numFmtId="184" fontId="0" fillId="0" borderId="19" xfId="5" applyFont="1" applyBorder="1" applyAlignment="1" applyProtection="1">
      <alignment vertical="center"/>
    </xf>
    <xf numFmtId="184" fontId="0" fillId="0" borderId="1" xfId="5" applyFont="1" applyBorder="1" applyAlignment="1" applyProtection="1">
      <alignment horizontal="center" vertical="center"/>
    </xf>
    <xf numFmtId="185" fontId="0" fillId="0" borderId="1" xfId="5" applyNumberFormat="1" applyFont="1" applyBorder="1" applyAlignment="1" applyProtection="1">
      <alignment horizontal="center" vertical="center"/>
    </xf>
    <xf numFmtId="185" fontId="0" fillId="0" borderId="1" xfId="5" applyNumberFormat="1" applyFont="1" applyBorder="1" applyAlignment="1" applyProtection="1">
      <alignment horizontal="center" vertical="center" wrapText="1"/>
    </xf>
    <xf numFmtId="184" fontId="0" fillId="0" borderId="16" xfId="5" applyFont="1" applyBorder="1" applyProtection="1"/>
    <xf numFmtId="187" fontId="22" fillId="0" borderId="17" xfId="7" applyNumberFormat="1" applyFont="1" applyBorder="1" applyAlignment="1"/>
    <xf numFmtId="187" fontId="22" fillId="0" borderId="14" xfId="7" applyNumberFormat="1" applyFont="1" applyBorder="1" applyAlignment="1"/>
    <xf numFmtId="184" fontId="0" fillId="0" borderId="16" xfId="5" applyFont="1" applyBorder="1" applyAlignment="1" applyProtection="1">
      <alignment horizontal="center"/>
    </xf>
    <xf numFmtId="187" fontId="22" fillId="0" borderId="20" xfId="7" applyNumberFormat="1" applyFont="1" applyBorder="1" applyAlignment="1"/>
    <xf numFmtId="184" fontId="0" fillId="0" borderId="18" xfId="5" applyFont="1" applyBorder="1" applyProtection="1"/>
    <xf numFmtId="184" fontId="0" fillId="0" borderId="18" xfId="5" applyFont="1" applyBorder="1" applyAlignment="1" applyProtection="1">
      <alignment horizontal="center" vertical="center"/>
    </xf>
    <xf numFmtId="187" fontId="22" fillId="0" borderId="19" xfId="7" applyNumberFormat="1" applyFont="1" applyBorder="1" applyAlignment="1"/>
    <xf numFmtId="187" fontId="22" fillId="0" borderId="21" xfId="7" applyNumberFormat="1" applyFont="1" applyBorder="1" applyAlignment="1"/>
    <xf numFmtId="0" fontId="24" fillId="2" borderId="0" xfId="0" applyFont="1" applyFill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177" fontId="27" fillId="2" borderId="0" xfId="0" applyNumberFormat="1" applyFont="1" applyFill="1" applyAlignment="1">
      <alignment horizontal="center"/>
    </xf>
    <xf numFmtId="178" fontId="14" fillId="2" borderId="14" xfId="0" applyNumberFormat="1" applyFont="1" applyFill="1" applyBorder="1" applyAlignment="1"/>
    <xf numFmtId="178" fontId="14" fillId="2" borderId="22" xfId="0" applyNumberFormat="1" applyFont="1" applyFill="1" applyBorder="1" applyAlignment="1"/>
    <xf numFmtId="179" fontId="14" fillId="2" borderId="24" xfId="0" applyNumberFormat="1" applyFont="1" applyFill="1" applyBorder="1" applyAlignment="1">
      <alignment horizontal="right"/>
    </xf>
    <xf numFmtId="179" fontId="14" fillId="2" borderId="22" xfId="0" applyNumberFormat="1" applyFont="1" applyFill="1" applyBorder="1" applyAlignment="1">
      <alignment horizontal="right"/>
    </xf>
    <xf numFmtId="0" fontId="27" fillId="2" borderId="16" xfId="0" applyFont="1" applyFill="1" applyBorder="1" applyAlignment="1">
      <alignment horizontal="center"/>
    </xf>
    <xf numFmtId="178" fontId="14" fillId="2" borderId="16" xfId="0" applyNumberFormat="1" applyFont="1" applyFill="1" applyBorder="1" applyAlignment="1"/>
    <xf numFmtId="179" fontId="14" fillId="2" borderId="0" xfId="0" applyNumberFormat="1" applyFont="1" applyFill="1" applyAlignment="1">
      <alignment horizontal="right"/>
    </xf>
    <xf numFmtId="178" fontId="14" fillId="2" borderId="20" xfId="0" applyNumberFormat="1" applyFont="1" applyFill="1" applyBorder="1" applyAlignment="1"/>
    <xf numFmtId="179" fontId="14" fillId="2" borderId="16" xfId="0" applyNumberFormat="1" applyFont="1" applyFill="1" applyBorder="1" applyAlignment="1">
      <alignment horizontal="right"/>
    </xf>
    <xf numFmtId="0" fontId="25" fillId="2" borderId="16" xfId="0" applyFont="1" applyFill="1" applyBorder="1" applyAlignment="1">
      <alignment horizontal="center"/>
    </xf>
    <xf numFmtId="178" fontId="13" fillId="2" borderId="16" xfId="0" applyNumberFormat="1" applyFont="1" applyFill="1" applyBorder="1" applyAlignment="1"/>
    <xf numFmtId="179" fontId="13" fillId="2" borderId="0" xfId="0" applyNumberFormat="1" applyFont="1" applyFill="1" applyAlignment="1">
      <alignment horizontal="right"/>
    </xf>
    <xf numFmtId="178" fontId="13" fillId="2" borderId="20" xfId="0" applyNumberFormat="1" applyFont="1" applyFill="1" applyBorder="1" applyAlignment="1"/>
    <xf numFmtId="179" fontId="13" fillId="2" borderId="16" xfId="0" applyNumberFormat="1" applyFont="1" applyFill="1" applyBorder="1" applyAlignment="1">
      <alignment horizontal="right"/>
    </xf>
    <xf numFmtId="0" fontId="25" fillId="2" borderId="18" xfId="0" applyFont="1" applyFill="1" applyBorder="1" applyAlignment="1">
      <alignment horizontal="center"/>
    </xf>
    <xf numFmtId="178" fontId="13" fillId="2" borderId="25" xfId="0" applyNumberFormat="1" applyFont="1" applyFill="1" applyBorder="1" applyAlignment="1"/>
    <xf numFmtId="178" fontId="13" fillId="2" borderId="18" xfId="0" applyNumberFormat="1" applyFont="1" applyFill="1" applyBorder="1" applyAlignment="1"/>
    <xf numFmtId="179" fontId="13" fillId="2" borderId="26" xfId="0" applyNumberFormat="1" applyFont="1" applyFill="1" applyBorder="1" applyAlignment="1">
      <alignment horizontal="right"/>
    </xf>
    <xf numFmtId="178" fontId="13" fillId="2" borderId="27" xfId="0" applyNumberFormat="1" applyFont="1" applyFill="1" applyBorder="1" applyAlignment="1"/>
    <xf numFmtId="179" fontId="13" fillId="2" borderId="25" xfId="0" applyNumberFormat="1" applyFont="1" applyFill="1" applyBorder="1" applyAlignment="1">
      <alignment horizontal="right"/>
    </xf>
    <xf numFmtId="0" fontId="16" fillId="0" borderId="0" xfId="0" applyFont="1">
      <alignment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77" fontId="13" fillId="2" borderId="15" xfId="0" applyNumberFormat="1" applyFont="1" applyFill="1" applyBorder="1" applyAlignment="1" applyProtection="1">
      <alignment horizontal="center" vertical="center"/>
      <protection locked="0"/>
    </xf>
    <xf numFmtId="177" fontId="13" fillId="2" borderId="23" xfId="0" applyNumberFormat="1" applyFont="1" applyFill="1" applyBorder="1" applyAlignment="1" applyProtection="1">
      <alignment horizontal="center" vertical="center"/>
      <protection locked="0"/>
    </xf>
    <xf numFmtId="177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/>
    </xf>
    <xf numFmtId="188" fontId="29" fillId="0" borderId="0" xfId="0" applyNumberFormat="1" applyFont="1" applyAlignment="1"/>
    <xf numFmtId="0" fontId="0" fillId="0" borderId="12" xfId="0" applyBorder="1" applyAlignment="1"/>
    <xf numFmtId="0" fontId="0" fillId="0" borderId="12" xfId="0" applyBorder="1" applyAlignment="1">
      <alignment horizontal="center"/>
    </xf>
    <xf numFmtId="188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178" fontId="0" fillId="0" borderId="17" xfId="0" applyNumberFormat="1" applyBorder="1" applyAlignment="1"/>
    <xf numFmtId="178" fontId="0" fillId="0" borderId="20" xfId="0" applyNumberFormat="1" applyBorder="1" applyAlignment="1"/>
    <xf numFmtId="178" fontId="0" fillId="0" borderId="16" xfId="0" applyNumberFormat="1" applyBorder="1" applyAlignment="1"/>
    <xf numFmtId="178" fontId="0" fillId="0" borderId="14" xfId="0" applyNumberFormat="1" applyBorder="1" applyAlignment="1"/>
    <xf numFmtId="0" fontId="2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78" fontId="0" fillId="0" borderId="0" xfId="0" applyNumberFormat="1" applyAlignment="1"/>
    <xf numFmtId="0" fontId="2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22" fillId="0" borderId="21" xfId="0" applyFont="1" applyBorder="1" applyAlignment="1">
      <alignment vertical="top"/>
    </xf>
    <xf numFmtId="178" fontId="0" fillId="0" borderId="19" xfId="0" applyNumberFormat="1" applyBorder="1" applyAlignment="1">
      <alignment vertical="top"/>
    </xf>
    <xf numFmtId="178" fontId="0" fillId="0" borderId="21" xfId="0" applyNumberFormat="1" applyBorder="1" applyAlignment="1">
      <alignment vertical="top"/>
    </xf>
    <xf numFmtId="178" fontId="0" fillId="0" borderId="12" xfId="0" applyNumberFormat="1" applyBorder="1" applyAlignment="1">
      <alignment vertical="top"/>
    </xf>
    <xf numFmtId="0" fontId="0" fillId="0" borderId="0" xfId="0" applyAlignment="1"/>
    <xf numFmtId="0" fontId="0" fillId="0" borderId="0" xfId="8" applyFont="1"/>
    <xf numFmtId="0" fontId="31" fillId="0" borderId="28" xfId="2" applyFont="1" applyBorder="1" applyAlignment="1">
      <alignment horizontal="left"/>
    </xf>
    <xf numFmtId="0" fontId="32" fillId="0" borderId="0" xfId="2" applyFont="1" applyAlignment="1">
      <alignment horizontal="center" vertical="center"/>
    </xf>
    <xf numFmtId="0" fontId="32" fillId="0" borderId="28" xfId="2" applyFont="1" applyBorder="1" applyAlignment="1">
      <alignment horizontal="center" wrapText="1"/>
    </xf>
    <xf numFmtId="0" fontId="32" fillId="0" borderId="0" xfId="2" applyFont="1" applyAlignment="1">
      <alignment horizontal="center" vertical="center" wrapText="1"/>
    </xf>
    <xf numFmtId="0" fontId="32" fillId="0" borderId="28" xfId="2" applyFont="1" applyBorder="1" applyAlignment="1">
      <alignment horizontal="right"/>
    </xf>
    <xf numFmtId="0" fontId="32" fillId="0" borderId="28" xfId="2" applyFont="1" applyBorder="1" applyAlignment="1">
      <alignment horizontal="left"/>
    </xf>
    <xf numFmtId="0" fontId="32" fillId="0" borderId="0" xfId="2" applyFont="1" applyAlignment="1">
      <alignment horizontal="left" vertical="center" wrapText="1" indent="11"/>
    </xf>
    <xf numFmtId="0" fontId="32" fillId="0" borderId="0" xfId="2" applyFont="1" applyAlignment="1">
      <alignment vertical="center" wrapText="1"/>
    </xf>
    <xf numFmtId="0" fontId="32" fillId="0" borderId="28" xfId="2" applyFont="1" applyBorder="1" applyAlignment="1">
      <alignment vertical="center" wrapText="1"/>
    </xf>
    <xf numFmtId="0" fontId="31" fillId="0" borderId="29" xfId="2" applyFont="1" applyBorder="1" applyAlignment="1">
      <alignment horizontal="center" vertical="center"/>
    </xf>
    <xf numFmtId="0" fontId="31" fillId="0" borderId="5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2" fillId="0" borderId="3" xfId="2" applyFont="1" applyBorder="1" applyAlignment="1">
      <alignment horizontal="center" vertical="center" wrapText="1"/>
    </xf>
    <xf numFmtId="0" fontId="32" fillId="0" borderId="6" xfId="2" applyFont="1" applyBorder="1" applyAlignment="1">
      <alignment horizontal="center" vertical="center" wrapText="1"/>
    </xf>
    <xf numFmtId="0" fontId="31" fillId="0" borderId="30" xfId="2" applyFont="1" applyBorder="1" applyAlignment="1">
      <alignment horizontal="center" vertical="center" wrapText="1"/>
    </xf>
    <xf numFmtId="0" fontId="32" fillId="0" borderId="30" xfId="2" applyFont="1" applyBorder="1" applyAlignment="1">
      <alignment horizontal="center" vertical="center" wrapText="1"/>
    </xf>
    <xf numFmtId="0" fontId="31" fillId="0" borderId="29" xfId="2" applyFont="1" applyBorder="1" applyAlignment="1">
      <alignment horizontal="center" vertical="center" wrapText="1"/>
    </xf>
    <xf numFmtId="0" fontId="32" fillId="0" borderId="29" xfId="2" applyFont="1" applyBorder="1" applyAlignment="1">
      <alignment horizontal="center" vertical="center" wrapText="1"/>
    </xf>
    <xf numFmtId="0" fontId="32" fillId="0" borderId="5" xfId="2" applyFont="1" applyBorder="1" applyAlignment="1">
      <alignment horizontal="center" vertical="center" wrapText="1"/>
    </xf>
    <xf numFmtId="0" fontId="32" fillId="0" borderId="2" xfId="2" applyFont="1" applyBorder="1" applyAlignment="1">
      <alignment horizontal="center" vertical="center"/>
    </xf>
    <xf numFmtId="0" fontId="32" fillId="0" borderId="7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2" fillId="0" borderId="10" xfId="2" applyFont="1" applyBorder="1" applyAlignment="1">
      <alignment horizontal="center" vertical="center" wrapText="1"/>
    </xf>
    <xf numFmtId="0" fontId="32" fillId="0" borderId="7" xfId="2" applyFont="1" applyBorder="1" applyAlignment="1">
      <alignment horizontal="center" vertical="center" wrapText="1"/>
    </xf>
    <xf numFmtId="0" fontId="32" fillId="0" borderId="9" xfId="2" applyFont="1" applyBorder="1" applyAlignment="1">
      <alignment horizontal="center" vertical="center" wrapText="1"/>
    </xf>
    <xf numFmtId="0" fontId="32" fillId="0" borderId="31" xfId="2" applyFont="1" applyBorder="1" applyAlignment="1">
      <alignment horizontal="center" vertical="center" wrapText="1"/>
    </xf>
    <xf numFmtId="0" fontId="32" fillId="0" borderId="28" xfId="2" applyFont="1" applyBorder="1" applyAlignment="1">
      <alignment horizontal="center" vertical="center" wrapText="1"/>
    </xf>
    <xf numFmtId="0" fontId="32" fillId="0" borderId="32" xfId="2" applyFont="1" applyBorder="1" applyAlignment="1">
      <alignment horizontal="center" vertical="center" wrapText="1"/>
    </xf>
    <xf numFmtId="0" fontId="32" fillId="0" borderId="4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2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2" fillId="0" borderId="9" xfId="2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2" fillId="0" borderId="10" xfId="2" applyFont="1" applyBorder="1" applyAlignment="1">
      <alignment horizontal="center" vertical="center" wrapText="1"/>
    </xf>
    <xf numFmtId="0" fontId="32" fillId="0" borderId="31" xfId="2" applyFont="1" applyBorder="1" applyAlignment="1">
      <alignment horizontal="center" vertical="center" wrapText="1"/>
    </xf>
    <xf numFmtId="0" fontId="32" fillId="0" borderId="9" xfId="2" applyFont="1" applyBorder="1" applyAlignment="1">
      <alignment horizontal="center" vertical="center" wrapText="1"/>
    </xf>
    <xf numFmtId="0" fontId="31" fillId="0" borderId="29" xfId="2" applyFont="1" applyBorder="1" applyAlignment="1">
      <alignment horizontal="left" vertical="center"/>
    </xf>
    <xf numFmtId="189" fontId="35" fillId="0" borderId="0" xfId="9" applyNumberFormat="1" applyFont="1" applyAlignment="1">
      <alignment horizontal="right" vertical="center"/>
    </xf>
    <xf numFmtId="0" fontId="32" fillId="0" borderId="8" xfId="2" applyFont="1" applyBorder="1" applyAlignment="1">
      <alignment horizontal="left" vertical="center"/>
    </xf>
    <xf numFmtId="0" fontId="32" fillId="0" borderId="7" xfId="2" applyFont="1" applyBorder="1" applyAlignment="1">
      <alignment horizontal="left" vertical="center"/>
    </xf>
    <xf numFmtId="0" fontId="32" fillId="0" borderId="32" xfId="2" applyFont="1" applyBorder="1" applyAlignment="1">
      <alignment horizontal="left" vertical="center"/>
    </xf>
    <xf numFmtId="189" fontId="35" fillId="0" borderId="26" xfId="9" applyNumberFormat="1" applyFont="1" applyBorder="1" applyAlignment="1">
      <alignment horizontal="right" vertical="center"/>
    </xf>
    <xf numFmtId="0" fontId="32" fillId="0" borderId="11" xfId="2" applyFont="1" applyBorder="1" applyAlignment="1">
      <alignment horizontal="left" vertical="center"/>
    </xf>
    <xf numFmtId="0" fontId="32" fillId="0" borderId="0" xfId="2" applyFont="1" applyFill="1" applyBorder="1" applyAlignment="1">
      <alignment horizontal="left" vertical="center"/>
    </xf>
    <xf numFmtId="0" fontId="15" fillId="0" borderId="0" xfId="4" applyFill="1" applyBorder="1" applyAlignment="1">
      <alignment horizontal="left" vertical="center"/>
    </xf>
    <xf numFmtId="0" fontId="37" fillId="0" borderId="0" xfId="2" applyFont="1" applyFill="1" applyBorder="1" applyAlignment="1">
      <alignment horizontal="left" vertical="center"/>
    </xf>
    <xf numFmtId="0" fontId="39" fillId="0" borderId="33" xfId="10" applyFont="1" applyBorder="1" applyAlignment="1">
      <alignment horizontal="center" vertical="center" wrapText="1"/>
    </xf>
    <xf numFmtId="0" fontId="39" fillId="0" borderId="34" xfId="10" applyFont="1" applyBorder="1" applyAlignment="1">
      <alignment horizontal="center" vertical="center" wrapText="1"/>
    </xf>
    <xf numFmtId="0" fontId="39" fillId="0" borderId="35" xfId="10" applyFont="1" applyBorder="1" applyAlignment="1">
      <alignment horizontal="center" vertical="center" wrapText="1"/>
    </xf>
    <xf numFmtId="0" fontId="39" fillId="0" borderId="36" xfId="10" applyFont="1" applyBorder="1" applyAlignment="1">
      <alignment horizontal="center" vertical="center" wrapText="1"/>
    </xf>
    <xf numFmtId="0" fontId="40" fillId="0" borderId="36" xfId="10" applyFont="1" applyBorder="1" applyAlignment="1">
      <alignment horizontal="center" vertical="center" wrapText="1"/>
    </xf>
    <xf numFmtId="0" fontId="39" fillId="0" borderId="37" xfId="10" applyFont="1" applyBorder="1" applyAlignment="1">
      <alignment horizontal="center" vertical="top" wrapText="1"/>
    </xf>
    <xf numFmtId="0" fontId="39" fillId="0" borderId="38" xfId="10" applyFont="1" applyBorder="1" applyAlignment="1">
      <alignment horizontal="center" vertical="top" wrapText="1"/>
    </xf>
    <xf numFmtId="190" fontId="39" fillId="0" borderId="39" xfId="10" applyNumberFormat="1" applyFont="1" applyBorder="1" applyAlignment="1">
      <alignment horizontal="right" vertical="top"/>
    </xf>
    <xf numFmtId="176" fontId="39" fillId="0" borderId="40" xfId="10" applyNumberFormat="1" applyFont="1" applyBorder="1" applyAlignment="1">
      <alignment horizontal="right" vertical="top"/>
    </xf>
    <xf numFmtId="0" fontId="40" fillId="0" borderId="41" xfId="10" applyFont="1" applyBorder="1" applyAlignment="1">
      <alignment horizontal="left" vertical="top" wrapText="1"/>
    </xf>
    <xf numFmtId="0" fontId="39" fillId="0" borderId="42" xfId="10" applyFont="1" applyBorder="1" applyAlignment="1">
      <alignment horizontal="left" vertical="top" wrapText="1"/>
    </xf>
    <xf numFmtId="190" fontId="39" fillId="0" borderId="43" xfId="10" applyNumberFormat="1" applyFont="1" applyBorder="1" applyAlignment="1">
      <alignment horizontal="right" vertical="top"/>
    </xf>
    <xf numFmtId="176" fontId="39" fillId="0" borderId="44" xfId="10" applyNumberFormat="1" applyFont="1" applyBorder="1" applyAlignment="1">
      <alignment horizontal="right" vertical="top"/>
    </xf>
    <xf numFmtId="0" fontId="39" fillId="0" borderId="45" xfId="10" applyFont="1" applyBorder="1" applyAlignment="1">
      <alignment horizontal="left" vertical="top" wrapText="1"/>
    </xf>
    <xf numFmtId="0" fontId="39" fillId="0" borderId="46" xfId="10" applyFont="1" applyBorder="1" applyAlignment="1">
      <alignment horizontal="left" vertical="top" wrapText="1"/>
    </xf>
    <xf numFmtId="190" fontId="39" fillId="0" borderId="47" xfId="10" applyNumberFormat="1" applyFont="1" applyBorder="1" applyAlignment="1">
      <alignment horizontal="right" vertical="top"/>
    </xf>
    <xf numFmtId="176" fontId="39" fillId="0" borderId="48" xfId="10" applyNumberFormat="1" applyFont="1" applyBorder="1" applyAlignment="1">
      <alignment horizontal="right" vertical="top"/>
    </xf>
    <xf numFmtId="0" fontId="39" fillId="0" borderId="49" xfId="10" applyFont="1" applyBorder="1" applyAlignment="1">
      <alignment horizontal="left" vertical="top" wrapText="1"/>
    </xf>
    <xf numFmtId="0" fontId="39" fillId="0" borderId="50" xfId="10" applyFont="1" applyBorder="1" applyAlignment="1">
      <alignment horizontal="left" vertical="top" wrapText="1"/>
    </xf>
    <xf numFmtId="190" fontId="39" fillId="0" borderId="51" xfId="10" applyNumberFormat="1" applyFont="1" applyBorder="1" applyAlignment="1">
      <alignment horizontal="right" vertical="top"/>
    </xf>
    <xf numFmtId="176" fontId="39" fillId="0" borderId="52" xfId="10" applyNumberFormat="1" applyFont="1" applyBorder="1" applyAlignment="1">
      <alignment horizontal="right" vertical="top"/>
    </xf>
    <xf numFmtId="0" fontId="39" fillId="0" borderId="53" xfId="10" applyFont="1" applyBorder="1" applyAlignment="1">
      <alignment horizontal="left" vertical="top" wrapText="1"/>
    </xf>
    <xf numFmtId="0" fontId="39" fillId="0" borderId="54" xfId="10" applyFont="1" applyBorder="1" applyAlignment="1">
      <alignment horizontal="left" vertical="top" wrapText="1"/>
    </xf>
    <xf numFmtId="190" fontId="39" fillId="0" borderId="55" xfId="10" applyNumberFormat="1" applyFont="1" applyBorder="1" applyAlignment="1">
      <alignment horizontal="right" vertical="top"/>
    </xf>
    <xf numFmtId="176" fontId="39" fillId="0" borderId="56" xfId="10" applyNumberFormat="1" applyFont="1" applyBorder="1" applyAlignment="1">
      <alignment horizontal="right" vertical="top"/>
    </xf>
    <xf numFmtId="0" fontId="39" fillId="0" borderId="57" xfId="10" applyFont="1" applyBorder="1" applyAlignment="1">
      <alignment horizontal="left" vertical="top" wrapText="1"/>
    </xf>
    <xf numFmtId="0" fontId="39" fillId="0" borderId="58" xfId="10" applyFont="1" applyBorder="1" applyAlignment="1">
      <alignment horizontal="left" vertical="top" wrapText="1"/>
    </xf>
    <xf numFmtId="190" fontId="39" fillId="0" borderId="59" xfId="10" applyNumberFormat="1" applyFont="1" applyBorder="1" applyAlignment="1">
      <alignment horizontal="right" vertical="top"/>
    </xf>
    <xf numFmtId="176" fontId="39" fillId="0" borderId="60" xfId="10" applyNumberFormat="1" applyFont="1" applyBorder="1" applyAlignment="1">
      <alignment horizontal="right" vertical="top"/>
    </xf>
    <xf numFmtId="0" fontId="40" fillId="0" borderId="53" xfId="10" applyFont="1" applyBorder="1" applyAlignment="1">
      <alignment horizontal="left" vertical="top" wrapText="1"/>
    </xf>
    <xf numFmtId="0" fontId="15" fillId="0" borderId="0" xfId="4">
      <alignment vertical="center"/>
    </xf>
    <xf numFmtId="0" fontId="25" fillId="2" borderId="0" xfId="0" applyFont="1" applyFill="1" applyBorder="1" applyAlignment="1">
      <alignment horizontal="center"/>
    </xf>
    <xf numFmtId="184" fontId="0" fillId="0" borderId="0" xfId="5" applyFont="1" applyFill="1" applyBorder="1" applyProtection="1"/>
  </cellXfs>
  <cellStyles count="11">
    <cellStyle name="一般" xfId="0" builtinId="0"/>
    <cellStyle name="一般 2" xfId="2" xr:uid="{920FE5C5-4127-5F41-A5D9-BC1621D3425C}"/>
    <cellStyle name="一般 5" xfId="8" xr:uid="{2FC74054-E649-F445-AC0E-139F87A852AA}"/>
    <cellStyle name="一般_86" xfId="5" xr:uid="{28097AA5-13FB-3340-9C36-78EB7F04AD1B}"/>
    <cellStyle name="一般_O-1教育程度比較表" xfId="6" xr:uid="{D875F571-CBD3-D346-BD2C-B62FA231ED85}"/>
    <cellStyle name="一般_t23-t46" xfId="9" xr:uid="{9433A188-6A98-B34F-BB57-71A472BE51A4}"/>
    <cellStyle name="一般_工作表3" xfId="10" xr:uid="{3E69AB36-7CF1-9D48-947B-226633D56C16}"/>
    <cellStyle name="千分位[0] 3" xfId="3" xr:uid="{B4D381DE-CF79-A447-888F-5EC627928052}"/>
    <cellStyle name="千分位[0]_公務統計表格" xfId="7" xr:uid="{FDDCB020-3645-0D43-811E-3CC1FAFEB8BE}"/>
    <cellStyle name="百分比" xfId="1" builtinId="5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survey-chart.ncc.gov.tw/xcstat?xsmsid=0N318406527047621001&amp;qcat=0M36069600483371530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.gov.tw/News_Content.aspx?n=4001&amp;s=23607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i.gov.tw/cl.aspx?n=1537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s.gov.tw/app/portal/34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moi.gov.tw/cl.aspx?n=15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8005-8241-3A49-8BCB-DB53F8C101D2}">
  <dimension ref="A1:N23"/>
  <sheetViews>
    <sheetView workbookViewId="0">
      <selection activeCell="J1" sqref="J1"/>
    </sheetView>
  </sheetViews>
  <sheetFormatPr baseColWidth="10" defaultRowHeight="15"/>
  <cols>
    <col min="6" max="6" width="20" customWidth="1"/>
    <col min="8" max="8" width="13.83203125" customWidth="1"/>
    <col min="10" max="10" width="23.6640625" customWidth="1"/>
  </cols>
  <sheetData>
    <row r="1" spans="1:14">
      <c r="A1" t="s">
        <v>75</v>
      </c>
      <c r="B1" t="s">
        <v>76</v>
      </c>
      <c r="C1" t="s">
        <v>78</v>
      </c>
      <c r="D1" t="s">
        <v>77</v>
      </c>
      <c r="F1" t="s">
        <v>79</v>
      </c>
      <c r="H1" t="s">
        <v>80</v>
      </c>
      <c r="J1" t="s">
        <v>81</v>
      </c>
      <c r="L1" t="s">
        <v>86</v>
      </c>
      <c r="N1" t="s">
        <v>164</v>
      </c>
    </row>
    <row r="2" spans="1:14">
      <c r="A2" s="6" t="s">
        <v>9</v>
      </c>
    </row>
    <row r="3" spans="1:14">
      <c r="A3" s="6" t="s">
        <v>10</v>
      </c>
    </row>
    <row r="4" spans="1:14">
      <c r="A4" s="6" t="s">
        <v>11</v>
      </c>
    </row>
    <row r="5" spans="1:14">
      <c r="A5" s="6" t="s">
        <v>12</v>
      </c>
    </row>
    <row r="6" spans="1:14">
      <c r="A6" s="6" t="s">
        <v>13</v>
      </c>
    </row>
    <row r="7" spans="1:14">
      <c r="A7" s="6" t="s">
        <v>14</v>
      </c>
    </row>
    <row r="8" spans="1:14">
      <c r="A8" s="9" t="s">
        <v>15</v>
      </c>
    </row>
    <row r="9" spans="1:14">
      <c r="A9" s="9" t="s">
        <v>16</v>
      </c>
    </row>
    <row r="10" spans="1:14">
      <c r="A10" s="9" t="s">
        <v>17</v>
      </c>
    </row>
    <row r="11" spans="1:14">
      <c r="A11" s="9" t="s">
        <v>18</v>
      </c>
    </row>
    <row r="12" spans="1:14">
      <c r="A12" s="9" t="s">
        <v>19</v>
      </c>
    </row>
    <row r="13" spans="1:14">
      <c r="A13" s="9" t="s">
        <v>20</v>
      </c>
    </row>
    <row r="14" spans="1:14">
      <c r="A14" s="9" t="s">
        <v>21</v>
      </c>
    </row>
    <row r="15" spans="1:14">
      <c r="A15" s="9" t="s">
        <v>22</v>
      </c>
    </row>
    <row r="16" spans="1:14">
      <c r="A16" s="9" t="s">
        <v>23</v>
      </c>
    </row>
    <row r="17" spans="1:1">
      <c r="A17" s="9" t="s">
        <v>24</v>
      </c>
    </row>
    <row r="18" spans="1:1">
      <c r="A18" s="9" t="s">
        <v>25</v>
      </c>
    </row>
    <row r="19" spans="1:1">
      <c r="A19" s="9" t="s">
        <v>26</v>
      </c>
    </row>
    <row r="20" spans="1:1">
      <c r="A20" s="9" t="s">
        <v>27</v>
      </c>
    </row>
    <row r="21" spans="1:1">
      <c r="A21" s="9" t="s">
        <v>28</v>
      </c>
    </row>
    <row r="22" spans="1:1">
      <c r="A22" s="9" t="s">
        <v>29</v>
      </c>
    </row>
    <row r="23" spans="1:1">
      <c r="A23" s="9" t="s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F9E7-CCEA-F443-AA83-0AD3E3E10AD6}">
  <dimension ref="B2:V67"/>
  <sheetViews>
    <sheetView tabSelected="1" workbookViewId="0">
      <selection activeCell="S20" sqref="S20"/>
    </sheetView>
  </sheetViews>
  <sheetFormatPr baseColWidth="10" defaultRowHeight="15"/>
  <sheetData>
    <row r="2" spans="2:22" ht="30">
      <c r="B2" s="164"/>
      <c r="C2" s="165"/>
      <c r="D2" s="166" t="s">
        <v>242</v>
      </c>
      <c r="E2" s="167" t="s">
        <v>243</v>
      </c>
      <c r="F2" s="167" t="s">
        <v>244</v>
      </c>
      <c r="G2" s="167" t="s">
        <v>245</v>
      </c>
      <c r="H2" s="167" t="s">
        <v>246</v>
      </c>
      <c r="I2" s="167" t="s">
        <v>247</v>
      </c>
      <c r="J2" s="167" t="s">
        <v>248</v>
      </c>
      <c r="K2" s="167" t="s">
        <v>249</v>
      </c>
      <c r="L2" s="167" t="s">
        <v>250</v>
      </c>
      <c r="M2" s="167" t="s">
        <v>251</v>
      </c>
      <c r="N2" s="167" t="s">
        <v>252</v>
      </c>
      <c r="O2" s="167" t="s">
        <v>253</v>
      </c>
      <c r="P2" s="167" t="s">
        <v>254</v>
      </c>
      <c r="Q2" s="167" t="s">
        <v>255</v>
      </c>
      <c r="R2" s="167" t="s">
        <v>256</v>
      </c>
      <c r="S2" s="167" t="s">
        <v>257</v>
      </c>
      <c r="T2" s="167" t="s">
        <v>258</v>
      </c>
      <c r="U2" s="168" t="s">
        <v>259</v>
      </c>
      <c r="V2" s="168" t="s">
        <v>260</v>
      </c>
    </row>
    <row r="3" spans="2:22">
      <c r="B3" s="169" t="s">
        <v>33</v>
      </c>
      <c r="C3" s="170"/>
      <c r="D3" s="171">
        <v>1181.4297118003001</v>
      </c>
      <c r="E3" s="172">
        <v>3.9346170559597904</v>
      </c>
      <c r="F3" s="172">
        <v>0.98161560030237693</v>
      </c>
      <c r="G3" s="172">
        <v>0.82366824912065095</v>
      </c>
      <c r="H3" s="172">
        <v>0.68565574848060606</v>
      </c>
      <c r="I3" s="172">
        <v>0.47837190831181098</v>
      </c>
      <c r="J3" s="172">
        <v>0.23773038780026301</v>
      </c>
      <c r="K3" s="172">
        <v>0.17451641646489102</v>
      </c>
      <c r="L3" s="172">
        <v>0.141729062295158</v>
      </c>
      <c r="M3" s="172">
        <v>0.14003265234047801</v>
      </c>
      <c r="N3" s="172">
        <v>8.7095056387925404E-2</v>
      </c>
      <c r="O3" s="172">
        <v>7.1969310029658506E-2</v>
      </c>
      <c r="P3" s="172">
        <v>4.6095072818504397E-2</v>
      </c>
      <c r="Q3" s="172">
        <v>2.2605882051691298E-2</v>
      </c>
      <c r="R3" s="172">
        <v>2.1692439011029001E-2</v>
      </c>
      <c r="S3" s="172">
        <v>1.03278043365998E-2</v>
      </c>
      <c r="T3" s="172">
        <v>8.5871404944699199E-3</v>
      </c>
      <c r="U3" s="172">
        <v>1E-3</v>
      </c>
      <c r="V3" s="172">
        <v>2.5718079882253398E-3</v>
      </c>
    </row>
    <row r="4" spans="2:22">
      <c r="B4" s="173" t="s">
        <v>261</v>
      </c>
      <c r="C4" s="174" t="s">
        <v>262</v>
      </c>
      <c r="D4" s="175">
        <v>374.75592649650076</v>
      </c>
      <c r="E4" s="176">
        <v>4.3859835886866696</v>
      </c>
      <c r="F4" s="176">
        <v>0.99541620955298005</v>
      </c>
      <c r="G4" s="176">
        <v>0.81199588882590901</v>
      </c>
      <c r="H4" s="176">
        <v>0.67405792227688499</v>
      </c>
      <c r="I4" s="176">
        <v>0.53814178528342504</v>
      </c>
      <c r="J4" s="176">
        <v>0.30416555294424003</v>
      </c>
      <c r="K4" s="176">
        <v>0.27055080080009403</v>
      </c>
      <c r="L4" s="176">
        <v>0.263023709787022</v>
      </c>
      <c r="M4" s="176">
        <v>0.168241811395066</v>
      </c>
      <c r="N4" s="176">
        <v>0.12773267558293699</v>
      </c>
      <c r="O4" s="176">
        <v>0.12838732034112899</v>
      </c>
      <c r="P4" s="176">
        <v>4.4521812841226603E-2</v>
      </c>
      <c r="Q4" s="176">
        <v>7.0341078688235205E-3</v>
      </c>
      <c r="R4" s="176">
        <v>2.4433985261227198E-2</v>
      </c>
      <c r="S4" s="176">
        <v>8.922542880014879E-3</v>
      </c>
      <c r="T4" s="176">
        <v>1.47736725986696E-2</v>
      </c>
      <c r="U4" s="176">
        <v>0</v>
      </c>
      <c r="V4" s="176">
        <v>4.5837904470202298E-3</v>
      </c>
    </row>
    <row r="5" spans="2:22">
      <c r="B5" s="177"/>
      <c r="C5" s="178" t="s">
        <v>263</v>
      </c>
      <c r="D5" s="179">
        <v>192.74116135130689</v>
      </c>
      <c r="E5" s="180">
        <v>3.7399257969522801</v>
      </c>
      <c r="F5" s="180">
        <v>0.98779543328373298</v>
      </c>
      <c r="G5" s="180">
        <v>0.9313632906984709</v>
      </c>
      <c r="H5" s="180">
        <v>0.7473670352083791</v>
      </c>
      <c r="I5" s="180">
        <v>0.44495302023674804</v>
      </c>
      <c r="J5" s="180">
        <v>0.26920880209896103</v>
      </c>
      <c r="K5" s="180">
        <v>0.12793413514879201</v>
      </c>
      <c r="L5" s="180">
        <v>4.8845882376059302E-2</v>
      </c>
      <c r="M5" s="180">
        <v>6.4651454221926793E-2</v>
      </c>
      <c r="N5" s="180">
        <v>4.2349298373939498E-2</v>
      </c>
      <c r="O5" s="180">
        <v>3.2909270716420899E-2</v>
      </c>
      <c r="P5" s="180">
        <v>3.8057541135196195E-2</v>
      </c>
      <c r="Q5" s="180">
        <v>0</v>
      </c>
      <c r="R5" s="180">
        <v>0</v>
      </c>
      <c r="S5" s="180">
        <v>4.4906334536492995E-3</v>
      </c>
      <c r="T5" s="180">
        <v>0</v>
      </c>
      <c r="U5" s="180">
        <v>0</v>
      </c>
      <c r="V5" s="180">
        <v>0</v>
      </c>
    </row>
    <row r="6" spans="2:22">
      <c r="B6" s="177"/>
      <c r="C6" s="178" t="s">
        <v>264</v>
      </c>
      <c r="D6" s="179">
        <v>214.04953744197047</v>
      </c>
      <c r="E6" s="180">
        <v>4.0166185806852095</v>
      </c>
      <c r="F6" s="180">
        <v>0.979584070584956</v>
      </c>
      <c r="G6" s="180">
        <v>0.87238381786367691</v>
      </c>
      <c r="H6" s="180">
        <v>0.70567594428609892</v>
      </c>
      <c r="I6" s="180">
        <v>0.56370001647593904</v>
      </c>
      <c r="J6" s="180">
        <v>0.20915408042838698</v>
      </c>
      <c r="K6" s="180">
        <v>0.13149045829259001</v>
      </c>
      <c r="L6" s="180">
        <v>0.14739665087631398</v>
      </c>
      <c r="M6" s="180">
        <v>0.14294487597779798</v>
      </c>
      <c r="N6" s="180">
        <v>8.5419463445259303E-2</v>
      </c>
      <c r="O6" s="180">
        <v>6.1806686765657898E-2</v>
      </c>
      <c r="P6" s="180">
        <v>4.3931572621520802E-2</v>
      </c>
      <c r="Q6" s="180">
        <v>4.7545543992091995E-2</v>
      </c>
      <c r="R6" s="180">
        <v>1.9254657799514501E-2</v>
      </c>
      <c r="S6" s="180">
        <v>6.3307412754028507E-3</v>
      </c>
      <c r="T6" s="180">
        <v>0</v>
      </c>
      <c r="U6" s="180">
        <v>0</v>
      </c>
      <c r="V6" s="180">
        <v>0</v>
      </c>
    </row>
    <row r="7" spans="2:22">
      <c r="B7" s="177"/>
      <c r="C7" s="178" t="s">
        <v>265</v>
      </c>
      <c r="D7" s="179">
        <v>161.47534939689916</v>
      </c>
      <c r="E7" s="180">
        <v>3.6659992300821602</v>
      </c>
      <c r="F7" s="180">
        <v>0.96019950824393607</v>
      </c>
      <c r="G7" s="180">
        <v>0.82786719084959304</v>
      </c>
      <c r="H7" s="180">
        <v>0.58679679114161798</v>
      </c>
      <c r="I7" s="180">
        <v>0.42932980830893597</v>
      </c>
      <c r="J7" s="180">
        <v>0.127803435315475</v>
      </c>
      <c r="K7" s="180">
        <v>6.6766360187809001E-2</v>
      </c>
      <c r="L7" s="180">
        <v>8.9730440088800809E-2</v>
      </c>
      <c r="M7" s="180">
        <v>0.208228920153431</v>
      </c>
      <c r="N7" s="180">
        <v>0.11689284855913501</v>
      </c>
      <c r="O7" s="180">
        <v>6.3549757422242198E-2</v>
      </c>
      <c r="P7" s="180">
        <v>5.7889248284469896E-2</v>
      </c>
      <c r="Q7" s="180">
        <v>6.0982556174051003E-2</v>
      </c>
      <c r="R7" s="180">
        <v>1.9119904397307298E-2</v>
      </c>
      <c r="S7" s="180">
        <v>2.35666210159521E-2</v>
      </c>
      <c r="T7" s="180">
        <v>1.9097453953994099E-2</v>
      </c>
      <c r="U7" s="180">
        <v>0</v>
      </c>
      <c r="V7" s="180">
        <v>8.1783859854045009E-3</v>
      </c>
    </row>
    <row r="8" spans="2:22">
      <c r="B8" s="177"/>
      <c r="C8" s="178" t="s">
        <v>266</v>
      </c>
      <c r="D8" s="179">
        <v>189.41702677229082</v>
      </c>
      <c r="E8" s="180">
        <v>3.4509951520784896</v>
      </c>
      <c r="F8" s="180">
        <v>0.97012190948552701</v>
      </c>
      <c r="G8" s="180">
        <v>0.72361884654749009</v>
      </c>
      <c r="H8" s="180">
        <v>0.71937095820867103</v>
      </c>
      <c r="I8" s="180">
        <v>0.327313875201931</v>
      </c>
      <c r="J8" s="180">
        <v>0.217771689654604</v>
      </c>
      <c r="K8" s="180">
        <v>0.156122227139283</v>
      </c>
      <c r="L8" s="180">
        <v>5.5844734807030096E-2</v>
      </c>
      <c r="M8" s="180">
        <v>0.10175204616972501</v>
      </c>
      <c r="N8" s="180">
        <v>1.9160077854548801E-2</v>
      </c>
      <c r="O8" s="180">
        <v>2.8199918550936499E-2</v>
      </c>
      <c r="P8" s="180">
        <v>5.0818037882141703E-2</v>
      </c>
      <c r="Q8" s="180">
        <v>1.8837540149694899E-2</v>
      </c>
      <c r="R8" s="180">
        <v>4.3960344871842999E-2</v>
      </c>
      <c r="S8" s="180">
        <v>1.2464915036622899E-2</v>
      </c>
      <c r="T8" s="180">
        <v>5.63803051843869E-3</v>
      </c>
      <c r="U8" s="180">
        <v>0</v>
      </c>
      <c r="V8" s="180">
        <v>0</v>
      </c>
    </row>
    <row r="9" spans="2:22">
      <c r="B9" s="181"/>
      <c r="C9" s="182" t="s">
        <v>267</v>
      </c>
      <c r="D9" s="183">
        <v>48.990710341332225</v>
      </c>
      <c r="E9" s="184">
        <v>3.6448014617250699</v>
      </c>
      <c r="F9" s="184">
        <v>0.97563796486219501</v>
      </c>
      <c r="G9" s="184">
        <v>0.64940069304650705</v>
      </c>
      <c r="H9" s="184">
        <v>0.63960181886038503</v>
      </c>
      <c r="I9" s="184">
        <v>0.52551740412155201</v>
      </c>
      <c r="J9" s="184">
        <v>0.170035874382542</v>
      </c>
      <c r="K9" s="184">
        <v>0.23742028910372701</v>
      </c>
      <c r="L9" s="184">
        <v>5.79954101429625E-2</v>
      </c>
      <c r="M9" s="184">
        <v>0.13131941760587199</v>
      </c>
      <c r="N9" s="184">
        <v>0.12404600811646899</v>
      </c>
      <c r="O9" s="184">
        <v>3.54525220957373E-2</v>
      </c>
      <c r="P9" s="184">
        <v>4.2069193322550699E-2</v>
      </c>
      <c r="Q9" s="184">
        <v>9.7723627890763196E-3</v>
      </c>
      <c r="R9" s="184">
        <v>1.90981008004311E-2</v>
      </c>
      <c r="S9" s="184">
        <v>9.6075647270523409E-3</v>
      </c>
      <c r="T9" s="184">
        <v>9.32573801135478E-3</v>
      </c>
      <c r="U9" s="184">
        <v>8.5010997366555992E-3</v>
      </c>
      <c r="V9" s="184">
        <v>0</v>
      </c>
    </row>
    <row r="10" spans="2:22">
      <c r="B10" s="185" t="s">
        <v>113</v>
      </c>
      <c r="C10" s="186" t="s">
        <v>268</v>
      </c>
      <c r="D10" s="187">
        <v>576.52747896075653</v>
      </c>
      <c r="E10" s="188">
        <v>3.8929795734258601</v>
      </c>
      <c r="F10" s="188">
        <v>0.97769679374097906</v>
      </c>
      <c r="G10" s="188">
        <v>0.80216480683537994</v>
      </c>
      <c r="H10" s="188">
        <v>0.67899916219066991</v>
      </c>
      <c r="I10" s="188">
        <v>0.44122181891956602</v>
      </c>
      <c r="J10" s="188">
        <v>0.26039307658799199</v>
      </c>
      <c r="K10" s="188">
        <v>0.149138412564254</v>
      </c>
      <c r="L10" s="188">
        <v>0.14067278234173899</v>
      </c>
      <c r="M10" s="188">
        <v>0.152578126534684</v>
      </c>
      <c r="N10" s="188">
        <v>0.10508149206990999</v>
      </c>
      <c r="O10" s="188">
        <v>6.1972595895860801E-2</v>
      </c>
      <c r="P10" s="188">
        <v>6.0144957556357001E-2</v>
      </c>
      <c r="Q10" s="188">
        <v>1.75729472506558E-2</v>
      </c>
      <c r="R10" s="188">
        <v>2.0029811460161501E-2</v>
      </c>
      <c r="S10" s="188">
        <v>1.25556923118476E-2</v>
      </c>
      <c r="T10" s="188">
        <v>1.0466473071219199E-2</v>
      </c>
      <c r="U10" s="188">
        <v>0</v>
      </c>
      <c r="V10" s="188">
        <v>2.2906240945816001E-3</v>
      </c>
    </row>
    <row r="11" spans="2:22">
      <c r="B11" s="189"/>
      <c r="C11" s="190" t="s">
        <v>269</v>
      </c>
      <c r="D11" s="191">
        <v>604.90223283954401</v>
      </c>
      <c r="E11" s="192">
        <v>3.9743014074670997</v>
      </c>
      <c r="F11" s="192">
        <v>0.98535058348597504</v>
      </c>
      <c r="G11" s="192">
        <v>0.84416300793731391</v>
      </c>
      <c r="H11" s="192">
        <v>0.692000087621507</v>
      </c>
      <c r="I11" s="192">
        <v>0.51377936131448299</v>
      </c>
      <c r="J11" s="192">
        <v>0.21613076041596799</v>
      </c>
      <c r="K11" s="192">
        <v>0.19870398896104199</v>
      </c>
      <c r="L11" s="192">
        <v>0.14273579426862601</v>
      </c>
      <c r="M11" s="192">
        <v>0.128075661248544</v>
      </c>
      <c r="N11" s="192">
        <v>6.9952328429149807E-2</v>
      </c>
      <c r="O11" s="192">
        <v>8.1497098297847209E-2</v>
      </c>
      <c r="P11" s="192">
        <v>3.2704240072558899E-2</v>
      </c>
      <c r="Q11" s="192">
        <v>2.7402731947572798E-2</v>
      </c>
      <c r="R11" s="192">
        <v>2.32770760289032E-2</v>
      </c>
      <c r="S11" s="192">
        <v>8.2044221302767402E-3</v>
      </c>
      <c r="T11" s="192">
        <v>6.7959636500466904E-3</v>
      </c>
      <c r="U11" s="192">
        <v>6.8849954946644107E-4</v>
      </c>
      <c r="V11" s="192">
        <v>2.8398021078135799E-3</v>
      </c>
    </row>
    <row r="12" spans="2:22">
      <c r="B12" s="173" t="s">
        <v>270</v>
      </c>
      <c r="C12" s="174" t="s">
        <v>271</v>
      </c>
      <c r="D12" s="175">
        <v>139.04616217587261</v>
      </c>
      <c r="E12" s="176">
        <v>5.5254961599351704</v>
      </c>
      <c r="F12" s="176">
        <v>0.94514292227904906</v>
      </c>
      <c r="G12" s="176">
        <v>0.93897172657962302</v>
      </c>
      <c r="H12" s="176">
        <v>0.81731416700397796</v>
      </c>
      <c r="I12" s="176">
        <v>0.85891943339419397</v>
      </c>
      <c r="J12" s="176">
        <v>0.457112703098912</v>
      </c>
      <c r="K12" s="176">
        <v>0.35070795904060398</v>
      </c>
      <c r="L12" s="176">
        <v>0.18132855262960601</v>
      </c>
      <c r="M12" s="176">
        <v>0.37398694215224099</v>
      </c>
      <c r="N12" s="176">
        <v>0.22858699684470501</v>
      </c>
      <c r="O12" s="176">
        <v>0.10535254094315701</v>
      </c>
      <c r="P12" s="176">
        <v>9.6739049070039107E-2</v>
      </c>
      <c r="Q12" s="176">
        <v>9.7230297015815592E-2</v>
      </c>
      <c r="R12" s="176">
        <v>4.18045882318729E-2</v>
      </c>
      <c r="S12" s="176">
        <v>1.2180973081191699E-2</v>
      </c>
      <c r="T12" s="176">
        <v>2.0117308570187099E-2</v>
      </c>
      <c r="U12" s="176">
        <v>0</v>
      </c>
      <c r="V12" s="176">
        <v>0</v>
      </c>
    </row>
    <row r="13" spans="2:22">
      <c r="B13" s="177"/>
      <c r="C13" s="178" t="s">
        <v>272</v>
      </c>
      <c r="D13" s="179">
        <v>186.39199960242738</v>
      </c>
      <c r="E13" s="180">
        <v>5.2717077736877798</v>
      </c>
      <c r="F13" s="180">
        <v>0.99901105176737504</v>
      </c>
      <c r="G13" s="180">
        <v>0.91735141292509592</v>
      </c>
      <c r="H13" s="180">
        <v>0.85679293540015489</v>
      </c>
      <c r="I13" s="180">
        <v>0.82669078576811406</v>
      </c>
      <c r="J13" s="180">
        <v>0.37805827737327802</v>
      </c>
      <c r="K13" s="180">
        <v>0.30603569109470702</v>
      </c>
      <c r="L13" s="180">
        <v>0.19401738913087499</v>
      </c>
      <c r="M13" s="180">
        <v>0.318958077919273</v>
      </c>
      <c r="N13" s="180">
        <v>0.18562848924005698</v>
      </c>
      <c r="O13" s="180">
        <v>8.76215881826517E-2</v>
      </c>
      <c r="P13" s="180">
        <v>0.10678918607256101</v>
      </c>
      <c r="Q13" s="180">
        <v>2.63569740399896E-2</v>
      </c>
      <c r="R13" s="180">
        <v>3.9296948101637204E-2</v>
      </c>
      <c r="S13" s="180">
        <v>2.9098966672015E-2</v>
      </c>
      <c r="T13" s="180">
        <v>0</v>
      </c>
      <c r="U13" s="180">
        <v>0</v>
      </c>
      <c r="V13" s="180">
        <v>0</v>
      </c>
    </row>
    <row r="14" spans="2:22">
      <c r="B14" s="177"/>
      <c r="C14" s="178" t="s">
        <v>273</v>
      </c>
      <c r="D14" s="179">
        <v>215.47318186630375</v>
      </c>
      <c r="E14" s="180">
        <v>4.3962448433699697</v>
      </c>
      <c r="F14" s="180">
        <v>0.99169318565412501</v>
      </c>
      <c r="G14" s="180">
        <v>0.91401940046069197</v>
      </c>
      <c r="H14" s="180">
        <v>0.71965851377666301</v>
      </c>
      <c r="I14" s="180">
        <v>0.63486886700559597</v>
      </c>
      <c r="J14" s="180">
        <v>0.26468575949576401</v>
      </c>
      <c r="K14" s="180">
        <v>0.19952352845917001</v>
      </c>
      <c r="L14" s="180">
        <v>0.16613037282391499</v>
      </c>
      <c r="M14" s="180">
        <v>0.14911917446263701</v>
      </c>
      <c r="N14" s="180">
        <v>8.9387829336739499E-2</v>
      </c>
      <c r="O14" s="180">
        <v>0.10620755473479299</v>
      </c>
      <c r="P14" s="180">
        <v>5.46262032814612E-2</v>
      </c>
      <c r="Q14" s="180">
        <v>3.2340931564717602E-2</v>
      </c>
      <c r="R14" s="180">
        <v>3.7232154339869795E-2</v>
      </c>
      <c r="S14" s="180">
        <v>1.7531714057554798E-2</v>
      </c>
      <c r="T14" s="180">
        <v>1.9219653916269799E-2</v>
      </c>
      <c r="U14" s="180">
        <v>0</v>
      </c>
      <c r="V14" s="180">
        <v>0</v>
      </c>
    </row>
    <row r="15" spans="2:22">
      <c r="B15" s="177"/>
      <c r="C15" s="178" t="s">
        <v>274</v>
      </c>
      <c r="D15" s="179">
        <v>215.00645142996882</v>
      </c>
      <c r="E15" s="180">
        <v>3.7037262254254002</v>
      </c>
      <c r="F15" s="180">
        <v>0.97677347032525608</v>
      </c>
      <c r="G15" s="180">
        <v>0.87309034164212207</v>
      </c>
      <c r="H15" s="180">
        <v>0.6952966863205261</v>
      </c>
      <c r="I15" s="180">
        <v>0.397391957428885</v>
      </c>
      <c r="J15" s="180">
        <v>0.22977200515941501</v>
      </c>
      <c r="K15" s="180">
        <v>0.12786189754122101</v>
      </c>
      <c r="L15" s="180">
        <v>0.14460744363032801</v>
      </c>
      <c r="M15" s="180">
        <v>6.3977633623945693E-2</v>
      </c>
      <c r="N15" s="180">
        <v>4.68665351156776E-2</v>
      </c>
      <c r="O15" s="180">
        <v>6.8855679438340103E-2</v>
      </c>
      <c r="P15" s="180">
        <v>2.9396405492042203E-2</v>
      </c>
      <c r="Q15" s="180">
        <v>6.0762295168823102E-3</v>
      </c>
      <c r="R15" s="180">
        <v>2.07815016063847E-2</v>
      </c>
      <c r="S15" s="180">
        <v>6.0762295168823102E-3</v>
      </c>
      <c r="T15" s="180">
        <v>1.07600318178685E-2</v>
      </c>
      <c r="U15" s="180">
        <v>0</v>
      </c>
      <c r="V15" s="180">
        <v>6.1421772496256495E-3</v>
      </c>
    </row>
    <row r="16" spans="2:22">
      <c r="B16" s="177"/>
      <c r="C16" s="178" t="s">
        <v>275</v>
      </c>
      <c r="D16" s="179">
        <v>205.92583232082629</v>
      </c>
      <c r="E16" s="180">
        <v>3.0913108749021698</v>
      </c>
      <c r="F16" s="180">
        <v>0.97905171116534806</v>
      </c>
      <c r="G16" s="180">
        <v>0.82811859052403503</v>
      </c>
      <c r="H16" s="180">
        <v>0.59426290225286993</v>
      </c>
      <c r="I16" s="180">
        <v>0.22601910145597501</v>
      </c>
      <c r="J16" s="180">
        <v>0.132868704894749</v>
      </c>
      <c r="K16" s="180">
        <v>9.6526758345831687E-2</v>
      </c>
      <c r="L16" s="180">
        <v>0.124689948309588</v>
      </c>
      <c r="M16" s="180">
        <v>2.2348926096737502E-2</v>
      </c>
      <c r="N16" s="180">
        <v>2.3561391440445202E-2</v>
      </c>
      <c r="O16" s="180">
        <v>4.7216937501720707E-2</v>
      </c>
      <c r="P16" s="180">
        <v>1.46234518698115E-2</v>
      </c>
      <c r="Q16" s="180">
        <v>0</v>
      </c>
      <c r="R16" s="180">
        <v>0</v>
      </c>
      <c r="S16" s="180">
        <v>0</v>
      </c>
      <c r="T16" s="180">
        <v>0</v>
      </c>
      <c r="U16" s="180">
        <v>2.0224510450559401E-3</v>
      </c>
      <c r="V16" s="180">
        <v>0</v>
      </c>
    </row>
    <row r="17" spans="2:22">
      <c r="B17" s="181"/>
      <c r="C17" s="182" t="s">
        <v>276</v>
      </c>
      <c r="D17" s="183">
        <v>219.58608440490144</v>
      </c>
      <c r="E17" s="184">
        <v>2.3562132596777601</v>
      </c>
      <c r="F17" s="184">
        <v>0.98720167253090596</v>
      </c>
      <c r="G17" s="184">
        <v>0.52991075766112505</v>
      </c>
      <c r="H17" s="184">
        <v>0.49992175565034702</v>
      </c>
      <c r="I17" s="184">
        <v>0.104116640019846</v>
      </c>
      <c r="J17" s="184">
        <v>5.9378504523222804E-2</v>
      </c>
      <c r="K17" s="184">
        <v>4.55913407370966E-2</v>
      </c>
      <c r="L17" s="184">
        <v>6.1486328124455293E-2</v>
      </c>
      <c r="M17" s="184">
        <v>1.5925621975458399E-2</v>
      </c>
      <c r="N17" s="184">
        <v>1.05821408964001E-2</v>
      </c>
      <c r="O17" s="184">
        <v>3.02085147744716E-2</v>
      </c>
      <c r="P17" s="184">
        <v>0</v>
      </c>
      <c r="Q17" s="184">
        <v>0</v>
      </c>
      <c r="R17" s="184">
        <v>0</v>
      </c>
      <c r="S17" s="184">
        <v>0</v>
      </c>
      <c r="T17" s="184">
        <v>4.0670706882769501E-3</v>
      </c>
      <c r="U17" s="184">
        <v>0</v>
      </c>
      <c r="V17" s="184">
        <v>7.8229120961570905E-3</v>
      </c>
    </row>
    <row r="18" spans="2:22">
      <c r="B18" s="193" t="s">
        <v>277</v>
      </c>
      <c r="C18" s="186" t="s">
        <v>70</v>
      </c>
      <c r="D18" s="187">
        <v>354.78106552246396</v>
      </c>
      <c r="E18" s="188">
        <v>5.1684508958539404</v>
      </c>
      <c r="F18" s="188">
        <v>0.97022585028028008</v>
      </c>
      <c r="G18" s="188">
        <v>0.91434432712540303</v>
      </c>
      <c r="H18" s="188">
        <v>0.80015357932295894</v>
      </c>
      <c r="I18" s="188">
        <v>0.77236582858856595</v>
      </c>
      <c r="J18" s="188">
        <v>0.37265691535294204</v>
      </c>
      <c r="K18" s="188">
        <v>0.31850431634156301</v>
      </c>
      <c r="L18" s="188">
        <v>0.17614717631847898</v>
      </c>
      <c r="M18" s="188">
        <v>0.31981358199006099</v>
      </c>
      <c r="N18" s="188">
        <v>0.20342592680412502</v>
      </c>
      <c r="O18" s="188">
        <v>9.5538081312739498E-2</v>
      </c>
      <c r="P18" s="188">
        <v>8.6144322378461299E-2</v>
      </c>
      <c r="Q18" s="188">
        <v>5.9147842093172705E-2</v>
      </c>
      <c r="R18" s="188">
        <v>4.3505138834300502E-2</v>
      </c>
      <c r="S18" s="188">
        <v>2.1218623668658298E-2</v>
      </c>
      <c r="T18" s="188">
        <v>1.5259385442230799E-2</v>
      </c>
      <c r="U18" s="188">
        <v>0</v>
      </c>
      <c r="V18" s="188">
        <v>0</v>
      </c>
    </row>
    <row r="19" spans="2:22">
      <c r="B19" s="177"/>
      <c r="C19" s="178" t="s">
        <v>278</v>
      </c>
      <c r="D19" s="179">
        <v>723.96032288089043</v>
      </c>
      <c r="E19" s="180">
        <v>3.4455276406347202</v>
      </c>
      <c r="F19" s="180">
        <v>0.98915482724854198</v>
      </c>
      <c r="G19" s="180">
        <v>0.78608571681513395</v>
      </c>
      <c r="H19" s="180">
        <v>0.65874659754438591</v>
      </c>
      <c r="I19" s="180">
        <v>0.36372669156119203</v>
      </c>
      <c r="J19" s="180">
        <v>0.18392692347857997</v>
      </c>
      <c r="K19" s="180">
        <v>0.10984337769286399</v>
      </c>
      <c r="L19" s="180">
        <v>0.13096242802343699</v>
      </c>
      <c r="M19" s="180">
        <v>6.23203230322271E-2</v>
      </c>
      <c r="N19" s="180">
        <v>3.75854311018421E-2</v>
      </c>
      <c r="O19" s="180">
        <v>6.1857725691649594E-2</v>
      </c>
      <c r="P19" s="180">
        <v>2.79549822887004E-2</v>
      </c>
      <c r="Q19" s="180">
        <v>5.964391368194339E-3</v>
      </c>
      <c r="R19" s="180">
        <v>1.20902395977351E-2</v>
      </c>
      <c r="S19" s="180">
        <v>6.4556148163401198E-3</v>
      </c>
      <c r="T19" s="180">
        <v>5.9043116430947092E-3</v>
      </c>
      <c r="U19" s="180">
        <v>5.7527312149369093E-4</v>
      </c>
      <c r="V19" s="180">
        <v>2.3727856093040301E-3</v>
      </c>
    </row>
    <row r="20" spans="2:22">
      <c r="B20" s="177"/>
      <c r="C20" s="178" t="s">
        <v>279</v>
      </c>
      <c r="D20" s="179">
        <v>83.210932040375226</v>
      </c>
      <c r="E20" s="180">
        <v>2.8563256429236499</v>
      </c>
      <c r="F20" s="180">
        <v>0.99318192063282296</v>
      </c>
      <c r="G20" s="180">
        <v>0.78108820110044208</v>
      </c>
      <c r="H20" s="180">
        <v>0.43761545732701201</v>
      </c>
      <c r="I20" s="180">
        <v>0.189343832794093</v>
      </c>
      <c r="J20" s="180">
        <v>0.14711897828401199</v>
      </c>
      <c r="K20" s="180">
        <v>9.074999539109109E-2</v>
      </c>
      <c r="L20" s="180">
        <v>0.104948915381185</v>
      </c>
      <c r="M20" s="180">
        <v>3.1984751156058297E-2</v>
      </c>
      <c r="N20" s="180">
        <v>7.4794584099227299E-3</v>
      </c>
      <c r="O20" s="180">
        <v>5.8128515431927499E-2</v>
      </c>
      <c r="P20" s="180">
        <v>1.4685617015084701E-2</v>
      </c>
      <c r="Q20" s="180">
        <v>0</v>
      </c>
      <c r="R20" s="180">
        <v>0</v>
      </c>
      <c r="S20" s="180">
        <v>0</v>
      </c>
      <c r="T20" s="180">
        <v>0</v>
      </c>
      <c r="U20" s="180">
        <v>0</v>
      </c>
      <c r="V20" s="180">
        <v>0</v>
      </c>
    </row>
    <row r="21" spans="2:22">
      <c r="B21" s="189"/>
      <c r="C21" s="190" t="s">
        <v>280</v>
      </c>
      <c r="D21" s="191">
        <v>19.477391356568891</v>
      </c>
      <c r="E21" s="192">
        <v>4.2460591797981495</v>
      </c>
      <c r="F21" s="192">
        <v>0.85943918680046905</v>
      </c>
      <c r="G21" s="192">
        <v>0.75082646855166502</v>
      </c>
      <c r="H21" s="192">
        <v>0.659941780608995</v>
      </c>
      <c r="I21" s="192">
        <v>0.61932545501738101</v>
      </c>
      <c r="J21" s="192">
        <v>0.166984570489073</v>
      </c>
      <c r="K21" s="192">
        <v>0.31348859257317901</v>
      </c>
      <c r="L21" s="192">
        <v>7.2121751302762091E-2</v>
      </c>
      <c r="M21" s="192">
        <v>0.21542980239033402</v>
      </c>
      <c r="N21" s="192">
        <v>0.148494565142374</v>
      </c>
      <c r="O21" s="192">
        <v>7.7634210937190792E-2</v>
      </c>
      <c r="P21" s="192">
        <v>0.12503790602054798</v>
      </c>
      <c r="Q21" s="192">
        <v>7.2121751302762091E-2</v>
      </c>
      <c r="R21" s="192">
        <v>7.3954395044811591E-2</v>
      </c>
      <c r="S21" s="192">
        <v>0</v>
      </c>
      <c r="T21" s="192">
        <v>2.3456659121825898E-2</v>
      </c>
      <c r="U21" s="192">
        <v>0</v>
      </c>
      <c r="V21" s="192">
        <v>6.7802084494775594E-2</v>
      </c>
    </row>
    <row r="22" spans="2:22">
      <c r="B22" s="173" t="s">
        <v>281</v>
      </c>
      <c r="C22" s="174" t="s">
        <v>282</v>
      </c>
      <c r="D22" s="175">
        <v>925.56100465329541</v>
      </c>
      <c r="E22" s="176">
        <v>3.7516598076285401</v>
      </c>
      <c r="F22" s="176">
        <v>0.98325773817804107</v>
      </c>
      <c r="G22" s="176">
        <v>0.80981521160765491</v>
      </c>
      <c r="H22" s="176">
        <v>0.69558602490732302</v>
      </c>
      <c r="I22" s="176">
        <v>0.43681023094488602</v>
      </c>
      <c r="J22" s="176">
        <v>0.22920673554614002</v>
      </c>
      <c r="K22" s="176">
        <v>0.14950597457094</v>
      </c>
      <c r="L22" s="176">
        <v>0.114570369818419</v>
      </c>
      <c r="M22" s="176">
        <v>0.11141882362718</v>
      </c>
      <c r="N22" s="176">
        <v>7.5480230271301296E-2</v>
      </c>
      <c r="O22" s="176">
        <v>6.0674307826940305E-2</v>
      </c>
      <c r="P22" s="176">
        <v>3.5166966342992198E-2</v>
      </c>
      <c r="Q22" s="176">
        <v>1.2094401020308001E-2</v>
      </c>
      <c r="R22" s="176">
        <v>2.1285137428705001E-2</v>
      </c>
      <c r="S22" s="176">
        <v>6.5987926884056103E-3</v>
      </c>
      <c r="T22" s="176">
        <v>7.8829342936613308E-3</v>
      </c>
      <c r="U22" s="176">
        <v>4.49970247976552E-4</v>
      </c>
      <c r="V22" s="176">
        <v>1.85595830766698E-3</v>
      </c>
    </row>
    <row r="23" spans="2:22">
      <c r="B23" s="177"/>
      <c r="C23" s="178" t="s">
        <v>283</v>
      </c>
      <c r="D23" s="179">
        <v>246.48390015621791</v>
      </c>
      <c r="E23" s="180">
        <v>4.5925590513647903</v>
      </c>
      <c r="F23" s="180">
        <v>0.98426237835887809</v>
      </c>
      <c r="G23" s="180">
        <v>0.87663291875940497</v>
      </c>
      <c r="H23" s="180">
        <v>0.65107075086571697</v>
      </c>
      <c r="I23" s="180">
        <v>0.62482130066712893</v>
      </c>
      <c r="J23" s="180">
        <v>0.268627409586285</v>
      </c>
      <c r="K23" s="180">
        <v>0.27166148385896499</v>
      </c>
      <c r="L23" s="180">
        <v>0.24344395328840801</v>
      </c>
      <c r="M23" s="180">
        <v>0.24040100053912097</v>
      </c>
      <c r="N23" s="180">
        <v>0.124930644181656</v>
      </c>
      <c r="O23" s="180">
        <v>0.10920041997836799</v>
      </c>
      <c r="P23" s="180">
        <v>8.3221956204298897E-2</v>
      </c>
      <c r="Q23" s="180">
        <v>5.8446356508888304E-2</v>
      </c>
      <c r="R23" s="180">
        <v>1.9556368295216401E-2</v>
      </c>
      <c r="S23" s="180">
        <v>2.4723682588912398E-2</v>
      </c>
      <c r="T23" s="180">
        <v>1.1558427683542699E-2</v>
      </c>
      <c r="U23" s="180">
        <v>0</v>
      </c>
      <c r="V23" s="180">
        <v>0</v>
      </c>
    </row>
    <row r="24" spans="2:22">
      <c r="B24" s="181"/>
      <c r="C24" s="182" t="s">
        <v>280</v>
      </c>
      <c r="D24" s="183">
        <v>9.3848069907853215</v>
      </c>
      <c r="E24" s="184">
        <v>4.6981900817156204</v>
      </c>
      <c r="F24" s="184">
        <v>0.75014712552962093</v>
      </c>
      <c r="G24" s="184">
        <v>0.79882948309776591</v>
      </c>
      <c r="H24" s="184">
        <v>0.614644002832749</v>
      </c>
      <c r="I24" s="184">
        <v>0.73095573426460902</v>
      </c>
      <c r="J24" s="184">
        <v>0.26687767989480199</v>
      </c>
      <c r="K24" s="184">
        <v>8.9697904286331204E-2</v>
      </c>
      <c r="L24" s="184">
        <v>0.14875570204653399</v>
      </c>
      <c r="M24" s="184">
        <v>0.32593547765500502</v>
      </c>
      <c r="N24" s="184">
        <v>0.23886875686710901</v>
      </c>
      <c r="O24" s="184">
        <v>0.20807699985861303</v>
      </c>
      <c r="P24" s="184">
        <v>0.14875570204653399</v>
      </c>
      <c r="Q24" s="184">
        <v>0.117963945038038</v>
      </c>
      <c r="R24" s="184">
        <v>0.117963945038038</v>
      </c>
      <c r="S24" s="184">
        <v>0</v>
      </c>
      <c r="T24" s="184">
        <v>0</v>
      </c>
      <c r="U24" s="184">
        <v>0</v>
      </c>
      <c r="V24" s="184">
        <v>0.140717623259867</v>
      </c>
    </row>
    <row r="25" spans="2:22">
      <c r="B25" s="193" t="s">
        <v>284</v>
      </c>
      <c r="C25" s="186" t="s">
        <v>285</v>
      </c>
      <c r="D25" s="187">
        <v>32.821964628179998</v>
      </c>
      <c r="E25" s="188">
        <v>2.2749579697568398</v>
      </c>
      <c r="F25" s="188">
        <v>0.94026795338552005</v>
      </c>
      <c r="G25" s="188">
        <v>0.34673612139909998</v>
      </c>
      <c r="H25" s="188">
        <v>0.35863125558952297</v>
      </c>
      <c r="I25" s="188">
        <v>3.8875298682823897E-2</v>
      </c>
      <c r="J25" s="188">
        <v>6.5323498444360001E-2</v>
      </c>
      <c r="K25" s="188">
        <v>6.5323498444360001E-2</v>
      </c>
      <c r="L25" s="188">
        <v>9.646097040202789E-2</v>
      </c>
      <c r="M25" s="188">
        <v>3.8875298682823897E-2</v>
      </c>
      <c r="N25" s="188">
        <v>3.8875298682823897E-2</v>
      </c>
      <c r="O25" s="188">
        <v>3.8875298682823897E-2</v>
      </c>
      <c r="P25" s="188">
        <v>3.8875298682823897E-2</v>
      </c>
      <c r="Q25" s="188">
        <v>3.8875298682823897E-2</v>
      </c>
      <c r="R25" s="188">
        <v>3.8875298682823897E-2</v>
      </c>
      <c r="S25" s="188">
        <v>3.8875298682823897E-2</v>
      </c>
      <c r="T25" s="188">
        <v>3.8875298682823897E-2</v>
      </c>
      <c r="U25" s="188">
        <v>0</v>
      </c>
      <c r="V25" s="188">
        <v>5.2336983946537401E-2</v>
      </c>
    </row>
    <row r="26" spans="2:22">
      <c r="B26" s="177"/>
      <c r="C26" s="178" t="s">
        <v>286</v>
      </c>
      <c r="D26" s="179">
        <v>114.52482859571003</v>
      </c>
      <c r="E26" s="180">
        <v>2.3055913876326399</v>
      </c>
      <c r="F26" s="180">
        <v>0.98072169352136696</v>
      </c>
      <c r="G26" s="180">
        <v>0.56547579077791099</v>
      </c>
      <c r="H26" s="180">
        <v>0.48801033279915301</v>
      </c>
      <c r="I26" s="180">
        <v>6.8845478361067608E-2</v>
      </c>
      <c r="J26" s="180">
        <v>6.1019586104862703E-2</v>
      </c>
      <c r="K26" s="180">
        <v>2.7883688315075702E-2</v>
      </c>
      <c r="L26" s="180">
        <v>5.11280185008623E-2</v>
      </c>
      <c r="M26" s="180">
        <v>2.26153060583014E-2</v>
      </c>
      <c r="N26" s="180">
        <v>9.8567707360139502E-3</v>
      </c>
      <c r="O26" s="180">
        <v>8.1453282024865695E-3</v>
      </c>
      <c r="P26" s="180">
        <v>4.3778788511078101E-3</v>
      </c>
      <c r="Q26" s="180">
        <v>4.3778788511078101E-3</v>
      </c>
      <c r="R26" s="180">
        <v>4.3778788511078101E-3</v>
      </c>
      <c r="S26" s="180">
        <v>4.3778788511078101E-3</v>
      </c>
      <c r="T26" s="180">
        <v>4.3778788511078101E-3</v>
      </c>
      <c r="U26" s="180">
        <v>0</v>
      </c>
      <c r="V26" s="180">
        <v>0</v>
      </c>
    </row>
    <row r="27" spans="2:22" ht="30">
      <c r="B27" s="177"/>
      <c r="C27" s="178" t="s">
        <v>287</v>
      </c>
      <c r="D27" s="179">
        <v>363.59266984257511</v>
      </c>
      <c r="E27" s="180">
        <v>3.21230212503677</v>
      </c>
      <c r="F27" s="180">
        <v>0.99329579085666497</v>
      </c>
      <c r="G27" s="180">
        <v>0.80472215197783403</v>
      </c>
      <c r="H27" s="180">
        <v>0.63153663506661306</v>
      </c>
      <c r="I27" s="180">
        <v>0.28869429688069198</v>
      </c>
      <c r="J27" s="180">
        <v>0.19336430505901903</v>
      </c>
      <c r="K27" s="180">
        <v>7.7635760305637291E-2</v>
      </c>
      <c r="L27" s="180">
        <v>7.0488692959398302E-2</v>
      </c>
      <c r="M27" s="180">
        <v>5.0473833829390802E-2</v>
      </c>
      <c r="N27" s="180">
        <v>4.6331917981547503E-2</v>
      </c>
      <c r="O27" s="180">
        <v>2.59326990801137E-2</v>
      </c>
      <c r="P27" s="180">
        <v>2.2911284029880102E-2</v>
      </c>
      <c r="Q27" s="180">
        <v>2.24181940928275E-3</v>
      </c>
      <c r="R27" s="180">
        <v>3.5274939509097099E-3</v>
      </c>
      <c r="S27" s="180">
        <v>0</v>
      </c>
      <c r="T27" s="180">
        <v>0</v>
      </c>
      <c r="U27" s="180">
        <v>1.1454436497897299E-3</v>
      </c>
      <c r="V27" s="180">
        <v>0</v>
      </c>
    </row>
    <row r="28" spans="2:22">
      <c r="B28" s="177"/>
      <c r="C28" s="178" t="s">
        <v>288</v>
      </c>
      <c r="D28" s="179">
        <v>125.10907793847045</v>
      </c>
      <c r="E28" s="180">
        <v>3.6667876508529997</v>
      </c>
      <c r="F28" s="180">
        <v>0.97304718357835795</v>
      </c>
      <c r="G28" s="180">
        <v>0.882926370636681</v>
      </c>
      <c r="H28" s="180">
        <v>0.68050712311529393</v>
      </c>
      <c r="I28" s="180">
        <v>0.43807127816034996</v>
      </c>
      <c r="J28" s="180">
        <v>0.16267425782562001</v>
      </c>
      <c r="K28" s="180">
        <v>0.15439263469082701</v>
      </c>
      <c r="L28" s="180">
        <v>0.11966526918157</v>
      </c>
      <c r="M28" s="180">
        <v>7.4647157656507396E-2</v>
      </c>
      <c r="N28" s="180">
        <v>3.4334814968750703E-2</v>
      </c>
      <c r="O28" s="180">
        <v>9.6262176592876211E-2</v>
      </c>
      <c r="P28" s="180">
        <v>2.94550857609568E-2</v>
      </c>
      <c r="Q28" s="180">
        <v>2.0804298685208101E-2</v>
      </c>
      <c r="R28" s="180">
        <v>0</v>
      </c>
      <c r="S28" s="180">
        <v>0</v>
      </c>
      <c r="T28" s="180">
        <v>0</v>
      </c>
      <c r="U28" s="180">
        <v>0</v>
      </c>
      <c r="V28" s="180">
        <v>0</v>
      </c>
    </row>
    <row r="29" spans="2:22">
      <c r="B29" s="177"/>
      <c r="C29" s="178" t="s">
        <v>60</v>
      </c>
      <c r="D29" s="179">
        <v>465.53029818641426</v>
      </c>
      <c r="E29" s="180">
        <v>4.8602388577868103</v>
      </c>
      <c r="F29" s="180">
        <v>0.98089366145814194</v>
      </c>
      <c r="G29" s="180">
        <v>0.90151413353523391</v>
      </c>
      <c r="H29" s="180">
        <v>0.77603384266657793</v>
      </c>
      <c r="I29" s="180">
        <v>0.73222410803827798</v>
      </c>
      <c r="J29" s="180">
        <v>0.34154411603175494</v>
      </c>
      <c r="K29" s="180">
        <v>0.282530956155987</v>
      </c>
      <c r="L29" s="180">
        <v>0.196846229702937</v>
      </c>
      <c r="M29" s="180">
        <v>0.23022920066660699</v>
      </c>
      <c r="N29" s="180">
        <v>0.151606283717971</v>
      </c>
      <c r="O29" s="180">
        <v>9.4477315789875893E-2</v>
      </c>
      <c r="P29" s="180">
        <v>6.7715572779184802E-2</v>
      </c>
      <c r="Q29" s="180">
        <v>4.0436729017681305E-2</v>
      </c>
      <c r="R29" s="180">
        <v>3.5617185305614696E-2</v>
      </c>
      <c r="S29" s="180">
        <v>1.8574785495519802E-2</v>
      </c>
      <c r="T29" s="180">
        <v>9.9947374254423498E-3</v>
      </c>
      <c r="U29" s="180">
        <v>0</v>
      </c>
      <c r="V29" s="180">
        <v>0</v>
      </c>
    </row>
    <row r="30" spans="2:22">
      <c r="B30" s="177"/>
      <c r="C30" s="178" t="s">
        <v>289</v>
      </c>
      <c r="D30" s="179">
        <v>74.230067736183727</v>
      </c>
      <c r="E30" s="180">
        <v>5.4159974367151404</v>
      </c>
      <c r="F30" s="180">
        <v>0.97943316378912204</v>
      </c>
      <c r="G30" s="180">
        <v>0.94945997003303206</v>
      </c>
      <c r="H30" s="180">
        <v>0.86072959911569891</v>
      </c>
      <c r="I30" s="180">
        <v>0.69520631634437191</v>
      </c>
      <c r="J30" s="180">
        <v>0.29101084073616601</v>
      </c>
      <c r="K30" s="180">
        <v>0.286950353942095</v>
      </c>
      <c r="L30" s="180">
        <v>0.34638942014979102</v>
      </c>
      <c r="M30" s="180">
        <v>0.35973477704485701</v>
      </c>
      <c r="N30" s="180">
        <v>0.111845998217886</v>
      </c>
      <c r="O30" s="180">
        <v>0.22757529215158001</v>
      </c>
      <c r="P30" s="180">
        <v>0.12315258537417</v>
      </c>
      <c r="Q30" s="180">
        <v>3.6204775890624798E-2</v>
      </c>
      <c r="R30" s="180">
        <v>8.0658725082439708E-2</v>
      </c>
      <c r="S30" s="180">
        <v>1.7599721869337299E-2</v>
      </c>
      <c r="T30" s="180">
        <v>5.0045896973967906E-2</v>
      </c>
      <c r="U30" s="180">
        <v>0</v>
      </c>
      <c r="V30" s="180">
        <v>0</v>
      </c>
    </row>
    <row r="31" spans="2:22">
      <c r="B31" s="189"/>
      <c r="C31" s="190" t="s">
        <v>280</v>
      </c>
      <c r="D31" s="191">
        <v>5.6208048727666649</v>
      </c>
      <c r="E31" s="192">
        <v>3.2773271983703101</v>
      </c>
      <c r="F31" s="192">
        <v>0.76505006589103208</v>
      </c>
      <c r="G31" s="192">
        <v>0.66729986319860501</v>
      </c>
      <c r="H31" s="192">
        <v>0.44029257382271098</v>
      </c>
      <c r="I31" s="192">
        <v>0.66729986319860501</v>
      </c>
      <c r="J31" s="192">
        <v>8.3739149691731601E-2</v>
      </c>
      <c r="K31" s="192">
        <v>8.3739149691731601E-2</v>
      </c>
      <c r="L31" s="192">
        <v>8.3739149691731601E-2</v>
      </c>
      <c r="M31" s="192">
        <v>0</v>
      </c>
      <c r="N31" s="192">
        <v>8.3739149691731601E-2</v>
      </c>
      <c r="O31" s="192">
        <v>8.3739149691731601E-2</v>
      </c>
      <c r="P31" s="192">
        <v>0</v>
      </c>
      <c r="Q31" s="192">
        <v>0</v>
      </c>
      <c r="R31" s="192">
        <v>0</v>
      </c>
      <c r="S31" s="192">
        <v>8.3739149691731601E-2</v>
      </c>
      <c r="T31" s="192">
        <v>0</v>
      </c>
      <c r="U31" s="192">
        <v>0</v>
      </c>
      <c r="V31" s="192">
        <v>0.234949934108968</v>
      </c>
    </row>
    <row r="32" spans="2:22" ht="30">
      <c r="B32" s="173" t="s">
        <v>290</v>
      </c>
      <c r="C32" s="174" t="s">
        <v>291</v>
      </c>
      <c r="D32" s="175">
        <v>17.189706159152845</v>
      </c>
      <c r="E32" s="176">
        <v>4.0303400222847303</v>
      </c>
      <c r="F32" s="176">
        <v>1</v>
      </c>
      <c r="G32" s="176">
        <v>0.74389398217628</v>
      </c>
      <c r="H32" s="176">
        <v>0.63735656964577503</v>
      </c>
      <c r="I32" s="176">
        <v>0.23269988935824698</v>
      </c>
      <c r="J32" s="176">
        <v>0.198811039975754</v>
      </c>
      <c r="K32" s="176">
        <v>0.14665241362120801</v>
      </c>
      <c r="L32" s="176">
        <v>0.18740303739693601</v>
      </c>
      <c r="M32" s="176">
        <v>0.14665241362120801</v>
      </c>
      <c r="N32" s="176">
        <v>0.14665241362120801</v>
      </c>
      <c r="O32" s="176">
        <v>0.14665241362120801</v>
      </c>
      <c r="P32" s="176">
        <v>0.14665241362120801</v>
      </c>
      <c r="Q32" s="176">
        <v>7.4228358906424707E-2</v>
      </c>
      <c r="R32" s="176">
        <v>7.4228358906424707E-2</v>
      </c>
      <c r="S32" s="176">
        <v>7.4228358906424707E-2</v>
      </c>
      <c r="T32" s="176">
        <v>7.4228358906424707E-2</v>
      </c>
      <c r="U32" s="176">
        <v>0</v>
      </c>
      <c r="V32" s="176">
        <v>0</v>
      </c>
    </row>
    <row r="33" spans="2:22" ht="30">
      <c r="B33" s="177"/>
      <c r="C33" s="178" t="s">
        <v>292</v>
      </c>
      <c r="D33" s="179">
        <v>0</v>
      </c>
      <c r="E33" s="180">
        <v>0</v>
      </c>
      <c r="F33" s="180">
        <v>0</v>
      </c>
      <c r="G33" s="180">
        <v>0</v>
      </c>
      <c r="H33" s="180">
        <v>0</v>
      </c>
      <c r="I33" s="180">
        <v>0</v>
      </c>
      <c r="J33" s="180">
        <v>0</v>
      </c>
      <c r="K33" s="180">
        <v>0</v>
      </c>
      <c r="L33" s="180">
        <v>0</v>
      </c>
      <c r="M33" s="180">
        <v>0</v>
      </c>
      <c r="N33" s="180">
        <v>0</v>
      </c>
      <c r="O33" s="180">
        <v>0</v>
      </c>
      <c r="P33" s="180">
        <v>0</v>
      </c>
      <c r="Q33" s="180">
        <v>0</v>
      </c>
      <c r="R33" s="180">
        <v>0</v>
      </c>
      <c r="S33" s="180">
        <v>0</v>
      </c>
      <c r="T33" s="180">
        <v>0</v>
      </c>
      <c r="U33" s="180">
        <v>0</v>
      </c>
      <c r="V33" s="180">
        <v>0</v>
      </c>
    </row>
    <row r="34" spans="2:22">
      <c r="B34" s="177"/>
      <c r="C34" s="178" t="s">
        <v>293</v>
      </c>
      <c r="D34" s="179">
        <v>143.09803491839855</v>
      </c>
      <c r="E34" s="180">
        <v>4.2061522844804502</v>
      </c>
      <c r="F34" s="180">
        <v>0.97209901450050396</v>
      </c>
      <c r="G34" s="180">
        <v>0.95040716715198303</v>
      </c>
      <c r="H34" s="180">
        <v>0.81182911033684801</v>
      </c>
      <c r="I34" s="180">
        <v>0.56828437893086503</v>
      </c>
      <c r="J34" s="180">
        <v>0.31324130350010898</v>
      </c>
      <c r="K34" s="180">
        <v>0.16276486300762499</v>
      </c>
      <c r="L34" s="180">
        <v>8.216336457933901E-2</v>
      </c>
      <c r="M34" s="180">
        <v>0.12636392194057899</v>
      </c>
      <c r="N34" s="180">
        <v>5.8962171748793105E-2</v>
      </c>
      <c r="O34" s="180">
        <v>5.7012919003683701E-2</v>
      </c>
      <c r="P34" s="180">
        <v>4.9230932370351393E-2</v>
      </c>
      <c r="Q34" s="180">
        <v>4.2120217473383794E-3</v>
      </c>
      <c r="R34" s="180">
        <v>3.2130982273208597E-2</v>
      </c>
      <c r="S34" s="180">
        <v>8.4872503964832004E-3</v>
      </c>
      <c r="T34" s="180">
        <v>8.9628829927411498E-3</v>
      </c>
      <c r="U34" s="180">
        <v>0</v>
      </c>
      <c r="V34" s="180">
        <v>0</v>
      </c>
    </row>
    <row r="35" spans="2:22" ht="30">
      <c r="B35" s="177"/>
      <c r="C35" s="178" t="s">
        <v>294</v>
      </c>
      <c r="D35" s="179">
        <v>12.11832007580329</v>
      </c>
      <c r="E35" s="180">
        <v>5.0532554948518502</v>
      </c>
      <c r="F35" s="180">
        <v>1</v>
      </c>
      <c r="G35" s="180">
        <v>0.829585667851098</v>
      </c>
      <c r="H35" s="180">
        <v>0.89102386087880603</v>
      </c>
      <c r="I35" s="180">
        <v>0.62789872967865101</v>
      </c>
      <c r="J35" s="180">
        <v>0.61096655793735</v>
      </c>
      <c r="K35" s="180">
        <v>0.29304928736291702</v>
      </c>
      <c r="L35" s="180">
        <v>0.415074601417105</v>
      </c>
      <c r="M35" s="180">
        <v>0.19282839486296102</v>
      </c>
      <c r="N35" s="180">
        <v>0</v>
      </c>
      <c r="O35" s="180">
        <v>0.19282839486296102</v>
      </c>
      <c r="P35" s="180">
        <v>0</v>
      </c>
      <c r="Q35" s="180">
        <v>0</v>
      </c>
      <c r="R35" s="180">
        <v>0</v>
      </c>
      <c r="S35" s="180">
        <v>0</v>
      </c>
      <c r="T35" s="180">
        <v>0</v>
      </c>
      <c r="U35" s="180">
        <v>0</v>
      </c>
      <c r="V35" s="180">
        <v>0</v>
      </c>
    </row>
    <row r="36" spans="2:22">
      <c r="B36" s="177"/>
      <c r="C36" s="178" t="s">
        <v>295</v>
      </c>
      <c r="D36" s="179">
        <v>54.151538932080875</v>
      </c>
      <c r="E36" s="180">
        <v>3.65247290700382</v>
      </c>
      <c r="F36" s="180">
        <v>1</v>
      </c>
      <c r="G36" s="180">
        <v>0.84390534736000111</v>
      </c>
      <c r="H36" s="180">
        <v>0.64940749616750593</v>
      </c>
      <c r="I36" s="180">
        <v>0.29663503596352997</v>
      </c>
      <c r="J36" s="180">
        <v>0.24181066075677801</v>
      </c>
      <c r="K36" s="180">
        <v>0.16197462757769199</v>
      </c>
      <c r="L36" s="180">
        <v>0.13064158747939</v>
      </c>
      <c r="M36" s="180">
        <v>7.9052984527042805E-2</v>
      </c>
      <c r="N36" s="180">
        <v>9.0182482851149992E-2</v>
      </c>
      <c r="O36" s="180">
        <v>4.9064365077475899E-2</v>
      </c>
      <c r="P36" s="180">
        <v>2.95760431515288E-2</v>
      </c>
      <c r="Q36" s="180">
        <v>9.2587548742567097E-3</v>
      </c>
      <c r="R36" s="180">
        <v>2.74219351751211E-2</v>
      </c>
      <c r="S36" s="180">
        <v>3.4282831168088099E-2</v>
      </c>
      <c r="T36" s="180">
        <v>9.2587548742567097E-3</v>
      </c>
      <c r="U36" s="180">
        <v>0</v>
      </c>
      <c r="V36" s="180">
        <v>0</v>
      </c>
    </row>
    <row r="37" spans="2:22">
      <c r="B37" s="177"/>
      <c r="C37" s="178" t="s">
        <v>296</v>
      </c>
      <c r="D37" s="179">
        <v>99.361315964729414</v>
      </c>
      <c r="E37" s="180">
        <v>3.9308011457227501</v>
      </c>
      <c r="F37" s="180">
        <v>1</v>
      </c>
      <c r="G37" s="180">
        <v>0.87569988062351201</v>
      </c>
      <c r="H37" s="180">
        <v>0.68690293092655907</v>
      </c>
      <c r="I37" s="180">
        <v>0.45483053647199695</v>
      </c>
      <c r="J37" s="180">
        <v>0.19906273507382699</v>
      </c>
      <c r="K37" s="180">
        <v>0.15063902545556299</v>
      </c>
      <c r="L37" s="180">
        <v>0.19502117692475898</v>
      </c>
      <c r="M37" s="180">
        <v>8.8510947414484897E-2</v>
      </c>
      <c r="N37" s="180">
        <v>8.7036761665232096E-2</v>
      </c>
      <c r="O37" s="180">
        <v>7.3929047064905301E-2</v>
      </c>
      <c r="P37" s="180">
        <v>2.5893953882789197E-2</v>
      </c>
      <c r="Q37" s="180">
        <v>3.3555010018044701E-2</v>
      </c>
      <c r="R37" s="180">
        <v>1.3963647396162101E-2</v>
      </c>
      <c r="S37" s="180">
        <v>2.18591957289423E-2</v>
      </c>
      <c r="T37" s="180">
        <v>2.3896297075975001E-2</v>
      </c>
      <c r="U37" s="180">
        <v>0</v>
      </c>
      <c r="V37" s="180">
        <v>0</v>
      </c>
    </row>
    <row r="38" spans="2:22">
      <c r="B38" s="177"/>
      <c r="C38" s="178" t="s">
        <v>297</v>
      </c>
      <c r="D38" s="179">
        <v>32.366898101833144</v>
      </c>
      <c r="E38" s="180">
        <v>3.8848914798577501</v>
      </c>
      <c r="F38" s="180">
        <v>0.964191738714826</v>
      </c>
      <c r="G38" s="180">
        <v>0.8457088160149</v>
      </c>
      <c r="H38" s="180">
        <v>0.69842337193811399</v>
      </c>
      <c r="I38" s="180">
        <v>0.55805864603925703</v>
      </c>
      <c r="J38" s="180">
        <v>0.35124309431406098</v>
      </c>
      <c r="K38" s="180">
        <v>0.10800412637242401</v>
      </c>
      <c r="L38" s="180">
        <v>9.9889805111634603E-2</v>
      </c>
      <c r="M38" s="180">
        <v>8.3644410966451102E-2</v>
      </c>
      <c r="N38" s="180">
        <v>6.0631865128426693E-2</v>
      </c>
      <c r="O38" s="180">
        <v>3.80506458662946E-2</v>
      </c>
      <c r="P38" s="180">
        <v>7.7044959391358497E-2</v>
      </c>
      <c r="Q38" s="180">
        <v>0</v>
      </c>
      <c r="R38" s="180">
        <v>0</v>
      </c>
      <c r="S38" s="180">
        <v>0</v>
      </c>
      <c r="T38" s="180">
        <v>0</v>
      </c>
      <c r="U38" s="180">
        <v>0</v>
      </c>
      <c r="V38" s="180">
        <v>0</v>
      </c>
    </row>
    <row r="39" spans="2:22">
      <c r="B39" s="177"/>
      <c r="C39" s="178" t="s">
        <v>298</v>
      </c>
      <c r="D39" s="179">
        <v>57.70485808522885</v>
      </c>
      <c r="E39" s="180">
        <v>3.9437912166223601</v>
      </c>
      <c r="F39" s="180">
        <v>0.97023123021459101</v>
      </c>
      <c r="G39" s="180">
        <v>0.78095680730403405</v>
      </c>
      <c r="H39" s="180">
        <v>0.66203153562573502</v>
      </c>
      <c r="I39" s="180">
        <v>0.52358026843329097</v>
      </c>
      <c r="J39" s="180">
        <v>0.29191315879610696</v>
      </c>
      <c r="K39" s="180">
        <v>0.270133085815629</v>
      </c>
      <c r="L39" s="180">
        <v>9.5262798681949604E-2</v>
      </c>
      <c r="M39" s="180">
        <v>0.147283643458689</v>
      </c>
      <c r="N39" s="180">
        <v>6.56940042702958E-2</v>
      </c>
      <c r="O39" s="180">
        <v>4.1324628997621501E-2</v>
      </c>
      <c r="P39" s="180">
        <v>5.1485800290719599E-2</v>
      </c>
      <c r="Q39" s="180">
        <v>1.41254849482884E-2</v>
      </c>
      <c r="R39" s="180">
        <v>0</v>
      </c>
      <c r="S39" s="180">
        <v>0</v>
      </c>
      <c r="T39" s="180">
        <v>0</v>
      </c>
      <c r="U39" s="180">
        <v>0</v>
      </c>
      <c r="V39" s="180">
        <v>2.9768769785409002E-2</v>
      </c>
    </row>
    <row r="40" spans="2:22" ht="30">
      <c r="B40" s="177"/>
      <c r="C40" s="178" t="s">
        <v>299</v>
      </c>
      <c r="D40" s="179">
        <v>9.1243711244554113</v>
      </c>
      <c r="E40" s="180">
        <v>4.7789333317931799</v>
      </c>
      <c r="F40" s="180">
        <v>1</v>
      </c>
      <c r="G40" s="180">
        <v>0.84437395233725698</v>
      </c>
      <c r="H40" s="180">
        <v>0.7173512426718599</v>
      </c>
      <c r="I40" s="180">
        <v>0.84437395233725698</v>
      </c>
      <c r="J40" s="180">
        <v>0.43054618846030601</v>
      </c>
      <c r="K40" s="180">
        <v>0.20635688907886199</v>
      </c>
      <c r="L40" s="180">
        <v>0.12133097623423</v>
      </c>
      <c r="M40" s="180">
        <v>0.29149001307225902</v>
      </c>
      <c r="N40" s="180">
        <v>8.0448165132691596E-2</v>
      </c>
      <c r="O40" s="180">
        <v>0.12133097623423</v>
      </c>
      <c r="P40" s="180">
        <v>0</v>
      </c>
      <c r="Q40" s="180">
        <v>0</v>
      </c>
      <c r="R40" s="180">
        <v>0.12133097623423</v>
      </c>
      <c r="S40" s="180">
        <v>0</v>
      </c>
      <c r="T40" s="180">
        <v>0</v>
      </c>
      <c r="U40" s="180">
        <v>0</v>
      </c>
      <c r="V40" s="180">
        <v>0</v>
      </c>
    </row>
    <row r="41" spans="2:22">
      <c r="B41" s="177"/>
      <c r="C41" s="178" t="s">
        <v>300</v>
      </c>
      <c r="D41" s="179">
        <v>48.84114603416058</v>
      </c>
      <c r="E41" s="180">
        <v>4.5814408498950794</v>
      </c>
      <c r="F41" s="180">
        <v>0.99147286768230303</v>
      </c>
      <c r="G41" s="180">
        <v>0.88517487706614706</v>
      </c>
      <c r="H41" s="180">
        <v>0.71885889382610801</v>
      </c>
      <c r="I41" s="180">
        <v>0.67794309211510095</v>
      </c>
      <c r="J41" s="180">
        <v>0.31521473392995203</v>
      </c>
      <c r="K41" s="180">
        <v>0.28299547139367898</v>
      </c>
      <c r="L41" s="180">
        <v>0.13174032425086099</v>
      </c>
      <c r="M41" s="180">
        <v>0.165461174131495</v>
      </c>
      <c r="N41" s="180">
        <v>0.15320200455456201</v>
      </c>
      <c r="O41" s="180">
        <v>4.7417585466001097E-2</v>
      </c>
      <c r="P41" s="180">
        <v>5.7720733352637402E-2</v>
      </c>
      <c r="Q41" s="180">
        <v>6.6853750886465405E-2</v>
      </c>
      <c r="R41" s="180">
        <v>5.5382955274106707E-2</v>
      </c>
      <c r="S41" s="180">
        <v>2.3475253647964399E-2</v>
      </c>
      <c r="T41" s="180">
        <v>0</v>
      </c>
      <c r="U41" s="180">
        <v>8.5271323176974306E-3</v>
      </c>
      <c r="V41" s="180">
        <v>0</v>
      </c>
    </row>
    <row r="42" spans="2:22">
      <c r="B42" s="177"/>
      <c r="C42" s="178" t="s">
        <v>301</v>
      </c>
      <c r="D42" s="179">
        <v>27.57577509063389</v>
      </c>
      <c r="E42" s="180">
        <v>5.2636170449723103</v>
      </c>
      <c r="F42" s="180">
        <v>1</v>
      </c>
      <c r="G42" s="180">
        <v>1</v>
      </c>
      <c r="H42" s="180">
        <v>0.68735173978539199</v>
      </c>
      <c r="I42" s="180">
        <v>0.82622820813139697</v>
      </c>
      <c r="J42" s="180">
        <v>0.46184373088721897</v>
      </c>
      <c r="K42" s="180">
        <v>0.42314821105803296</v>
      </c>
      <c r="L42" s="180">
        <v>0.28573117492355199</v>
      </c>
      <c r="M42" s="180">
        <v>0.15581099402550799</v>
      </c>
      <c r="N42" s="180">
        <v>6.0001482780265201E-2</v>
      </c>
      <c r="O42" s="180">
        <v>0.12631114179703298</v>
      </c>
      <c r="P42" s="180">
        <v>0.13996424237336</v>
      </c>
      <c r="Q42" s="180">
        <v>4.8613059605277703E-2</v>
      </c>
      <c r="R42" s="180">
        <v>4.8613059605277703E-2</v>
      </c>
      <c r="S42" s="180">
        <v>0</v>
      </c>
      <c r="T42" s="180">
        <v>0</v>
      </c>
      <c r="U42" s="180">
        <v>0</v>
      </c>
      <c r="V42" s="180">
        <v>0</v>
      </c>
    </row>
    <row r="43" spans="2:22" ht="30">
      <c r="B43" s="177"/>
      <c r="C43" s="178" t="s">
        <v>302</v>
      </c>
      <c r="D43" s="179">
        <v>50.305007405655658</v>
      </c>
      <c r="E43" s="180">
        <v>5.0772141790447902</v>
      </c>
      <c r="F43" s="180">
        <v>0.95981222999578708</v>
      </c>
      <c r="G43" s="180">
        <v>0.97394824191705598</v>
      </c>
      <c r="H43" s="180">
        <v>0.86034172354093597</v>
      </c>
      <c r="I43" s="180">
        <v>0.65555206068367899</v>
      </c>
      <c r="J43" s="180">
        <v>0.206495479570725</v>
      </c>
      <c r="K43" s="180">
        <v>0.28826641022108401</v>
      </c>
      <c r="L43" s="180">
        <v>0.40069948268538397</v>
      </c>
      <c r="M43" s="180">
        <v>0.22976766626005202</v>
      </c>
      <c r="N43" s="180">
        <v>0.14403831575162201</v>
      </c>
      <c r="O43" s="180">
        <v>0.158543489704667</v>
      </c>
      <c r="P43" s="180">
        <v>3.0501238068658801E-2</v>
      </c>
      <c r="Q43" s="180">
        <v>5.2303075752314895E-2</v>
      </c>
      <c r="R43" s="180">
        <v>9.6925928521056498E-2</v>
      </c>
      <c r="S43" s="180">
        <v>0</v>
      </c>
      <c r="T43" s="180">
        <v>2.0018836371771397E-2</v>
      </c>
      <c r="U43" s="180">
        <v>0</v>
      </c>
      <c r="V43" s="180">
        <v>0</v>
      </c>
    </row>
    <row r="44" spans="2:22">
      <c r="B44" s="177"/>
      <c r="C44" s="178" t="s">
        <v>303</v>
      </c>
      <c r="D44" s="179">
        <v>76.988635700937778</v>
      </c>
      <c r="E44" s="180">
        <v>4.4376156852069801</v>
      </c>
      <c r="F44" s="180">
        <v>0.99255089681280395</v>
      </c>
      <c r="G44" s="180">
        <v>0.88601926171659007</v>
      </c>
      <c r="H44" s="180">
        <v>0.67496101955704702</v>
      </c>
      <c r="I44" s="180">
        <v>0.51614596525242296</v>
      </c>
      <c r="J44" s="180">
        <v>0.29333328097803202</v>
      </c>
      <c r="K44" s="180">
        <v>0.25977618007379399</v>
      </c>
      <c r="L44" s="180">
        <v>0.21519600595484101</v>
      </c>
      <c r="M44" s="180">
        <v>0.17006854908314101</v>
      </c>
      <c r="N44" s="180">
        <v>0.15469949255061299</v>
      </c>
      <c r="O44" s="180">
        <v>0.13603582979520901</v>
      </c>
      <c r="P44" s="180">
        <v>9.8201301107723613E-2</v>
      </c>
      <c r="Q44" s="180">
        <v>1.4379639877682799E-2</v>
      </c>
      <c r="R44" s="180">
        <v>2.0313951162378899E-2</v>
      </c>
      <c r="S44" s="180">
        <v>0</v>
      </c>
      <c r="T44" s="180">
        <v>5.9343112846961203E-3</v>
      </c>
      <c r="U44" s="180">
        <v>0</v>
      </c>
      <c r="V44" s="180">
        <v>0</v>
      </c>
    </row>
    <row r="45" spans="2:22">
      <c r="B45" s="177"/>
      <c r="C45" s="178" t="s">
        <v>304</v>
      </c>
      <c r="D45" s="179">
        <v>30.382117818614315</v>
      </c>
      <c r="E45" s="180">
        <v>4.7579162936066703</v>
      </c>
      <c r="F45" s="180">
        <v>0.96630154799421109</v>
      </c>
      <c r="G45" s="180">
        <v>0.93457561507410902</v>
      </c>
      <c r="H45" s="180">
        <v>0.84247792363195306</v>
      </c>
      <c r="I45" s="180">
        <v>0.73251949202130207</v>
      </c>
      <c r="J45" s="180">
        <v>0.16728239822924199</v>
      </c>
      <c r="K45" s="180">
        <v>7.4095686627776297E-2</v>
      </c>
      <c r="L45" s="180">
        <v>0.24327262152745199</v>
      </c>
      <c r="M45" s="180">
        <v>0.237422895004024</v>
      </c>
      <c r="N45" s="180">
        <v>0.17404851985227002</v>
      </c>
      <c r="O45" s="180">
        <v>0.236718335224086</v>
      </c>
      <c r="P45" s="180">
        <v>7.4095686627776297E-2</v>
      </c>
      <c r="Q45" s="180">
        <v>4.1546275182529901E-2</v>
      </c>
      <c r="R45" s="180">
        <v>3.3559296609936902E-2</v>
      </c>
      <c r="S45" s="180">
        <v>0</v>
      </c>
      <c r="T45" s="180">
        <v>0</v>
      </c>
      <c r="U45" s="180">
        <v>0</v>
      </c>
      <c r="V45" s="180">
        <v>0</v>
      </c>
    </row>
    <row r="46" spans="2:22" ht="45">
      <c r="B46" s="177"/>
      <c r="C46" s="178" t="s">
        <v>305</v>
      </c>
      <c r="D46" s="179">
        <v>36.245765563804703</v>
      </c>
      <c r="E46" s="180">
        <v>3.7626049378090602</v>
      </c>
      <c r="F46" s="180">
        <v>0.98268848390279506</v>
      </c>
      <c r="G46" s="180">
        <v>0.81157002397093603</v>
      </c>
      <c r="H46" s="180">
        <v>0.81389875408067491</v>
      </c>
      <c r="I46" s="180">
        <v>0.61698966665093702</v>
      </c>
      <c r="J46" s="180">
        <v>0.15915315783431699</v>
      </c>
      <c r="K46" s="180">
        <v>3.2942544832949602E-2</v>
      </c>
      <c r="L46" s="180">
        <v>9.4362711470938401E-2</v>
      </c>
      <c r="M46" s="180">
        <v>0.14182114870540802</v>
      </c>
      <c r="N46" s="180">
        <v>4.8989919929136795E-2</v>
      </c>
      <c r="O46" s="180">
        <v>3.5549175777318698E-2</v>
      </c>
      <c r="P46" s="180">
        <v>0</v>
      </c>
      <c r="Q46" s="180">
        <v>0</v>
      </c>
      <c r="R46" s="180">
        <v>0</v>
      </c>
      <c r="S46" s="180">
        <v>0</v>
      </c>
      <c r="T46" s="180">
        <v>2.46393506536529E-2</v>
      </c>
      <c r="U46" s="180">
        <v>0</v>
      </c>
      <c r="V46" s="180">
        <v>0</v>
      </c>
    </row>
    <row r="47" spans="2:22" ht="30">
      <c r="B47" s="177"/>
      <c r="C47" s="178" t="s">
        <v>306</v>
      </c>
      <c r="D47" s="179">
        <v>33.708262782521537</v>
      </c>
      <c r="E47" s="180">
        <v>4.4561356383186999</v>
      </c>
      <c r="F47" s="180">
        <v>0.97147967734899099</v>
      </c>
      <c r="G47" s="180">
        <v>0.84895791112617203</v>
      </c>
      <c r="H47" s="180">
        <v>0.69207073439140598</v>
      </c>
      <c r="I47" s="180">
        <v>0.62475134097145801</v>
      </c>
      <c r="J47" s="180">
        <v>0.25275904828344298</v>
      </c>
      <c r="K47" s="180">
        <v>0.31886078259635697</v>
      </c>
      <c r="L47" s="180">
        <v>0.18766958097541298</v>
      </c>
      <c r="M47" s="180">
        <v>0.21100232020193002</v>
      </c>
      <c r="N47" s="180">
        <v>4.9223295098861003E-2</v>
      </c>
      <c r="O47" s="180">
        <v>8.5475649226313302E-2</v>
      </c>
      <c r="P47" s="180">
        <v>0.105166669019833</v>
      </c>
      <c r="Q47" s="180">
        <v>0</v>
      </c>
      <c r="R47" s="180">
        <v>0</v>
      </c>
      <c r="S47" s="180">
        <v>6.8949661843651505E-2</v>
      </c>
      <c r="T47" s="180">
        <v>3.9768967234876801E-2</v>
      </c>
      <c r="U47" s="180">
        <v>0</v>
      </c>
      <c r="V47" s="180">
        <v>0</v>
      </c>
    </row>
    <row r="48" spans="2:22" ht="30">
      <c r="B48" s="177"/>
      <c r="C48" s="178" t="s">
        <v>307</v>
      </c>
      <c r="D48" s="179">
        <v>13.369099123589564</v>
      </c>
      <c r="E48" s="180">
        <v>5.3066418530752504</v>
      </c>
      <c r="F48" s="180">
        <v>0.86694495607663202</v>
      </c>
      <c r="G48" s="180">
        <v>0.90938152817646989</v>
      </c>
      <c r="H48" s="180">
        <v>0.92204342693224206</v>
      </c>
      <c r="I48" s="180">
        <v>0.54931614558922903</v>
      </c>
      <c r="J48" s="180">
        <v>0.45181212995991599</v>
      </c>
      <c r="K48" s="180">
        <v>0.50193393787579599</v>
      </c>
      <c r="L48" s="180">
        <v>9.7581056480984696E-2</v>
      </c>
      <c r="M48" s="180">
        <v>0.45409627471594399</v>
      </c>
      <c r="N48" s="180">
        <v>0.20265497077087002</v>
      </c>
      <c r="O48" s="180">
        <v>9.7581056480984696E-2</v>
      </c>
      <c r="P48" s="180">
        <v>0.14533691722561301</v>
      </c>
      <c r="Q48" s="180">
        <v>5.3979726395283603E-2</v>
      </c>
      <c r="R48" s="180">
        <v>0</v>
      </c>
      <c r="S48" s="180">
        <v>5.3979726395283603E-2</v>
      </c>
      <c r="T48" s="180">
        <v>0</v>
      </c>
      <c r="U48" s="180">
        <v>0</v>
      </c>
      <c r="V48" s="180">
        <v>0</v>
      </c>
    </row>
    <row r="49" spans="2:22">
      <c r="B49" s="177"/>
      <c r="C49" s="178" t="s">
        <v>308</v>
      </c>
      <c r="D49" s="179">
        <v>76.055687637719487</v>
      </c>
      <c r="E49" s="180">
        <v>3.48555925939338</v>
      </c>
      <c r="F49" s="180">
        <v>0.98487099590404104</v>
      </c>
      <c r="G49" s="180">
        <v>0.87159498497018806</v>
      </c>
      <c r="H49" s="180">
        <v>0.58391235735261804</v>
      </c>
      <c r="I49" s="180">
        <v>0.47785013175697999</v>
      </c>
      <c r="J49" s="180">
        <v>0.142283838736073</v>
      </c>
      <c r="K49" s="180">
        <v>7.8700739239767004E-2</v>
      </c>
      <c r="L49" s="180">
        <v>6.0102740074444203E-2</v>
      </c>
      <c r="M49" s="180">
        <v>5.8189795621880605E-2</v>
      </c>
      <c r="N49" s="180">
        <v>0.10653390230462399</v>
      </c>
      <c r="O49" s="180">
        <v>5.6989867767962596E-2</v>
      </c>
      <c r="P49" s="180">
        <v>4.7246205523168702E-2</v>
      </c>
      <c r="Q49" s="180">
        <v>1.7283700141633499E-2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</row>
    <row r="50" spans="2:22">
      <c r="B50" s="177"/>
      <c r="C50" s="178" t="s">
        <v>309</v>
      </c>
      <c r="D50" s="179">
        <v>128.19568412974209</v>
      </c>
      <c r="E50" s="180">
        <v>2.7790697145759098</v>
      </c>
      <c r="F50" s="180">
        <v>0.98667833408791494</v>
      </c>
      <c r="G50" s="180">
        <v>0.70000016982345503</v>
      </c>
      <c r="H50" s="180">
        <v>0.52568439796323196</v>
      </c>
      <c r="I50" s="180">
        <v>0.17133232746827598</v>
      </c>
      <c r="J50" s="180">
        <v>0.10767889076461101</v>
      </c>
      <c r="K50" s="180">
        <v>6.7531927343207898E-2</v>
      </c>
      <c r="L50" s="180">
        <v>8.1766727407409104E-2</v>
      </c>
      <c r="M50" s="180">
        <v>5.10633278488773E-2</v>
      </c>
      <c r="N50" s="180">
        <v>2.3508695280278501E-2</v>
      </c>
      <c r="O50" s="180">
        <v>5.7228020346922204E-2</v>
      </c>
      <c r="P50" s="180">
        <v>6.5968962417272802E-3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</row>
    <row r="51" spans="2:22">
      <c r="B51" s="177"/>
      <c r="C51" s="178" t="s">
        <v>310</v>
      </c>
      <c r="D51" s="179">
        <v>79.104220566665319</v>
      </c>
      <c r="E51" s="180">
        <v>5.5255143113181102</v>
      </c>
      <c r="F51" s="180">
        <v>0.96068837029495202</v>
      </c>
      <c r="G51" s="180">
        <v>0.900659181102893</v>
      </c>
      <c r="H51" s="180">
        <v>0.8004501865847099</v>
      </c>
      <c r="I51" s="180">
        <v>0.87606716613105506</v>
      </c>
      <c r="J51" s="180">
        <v>0.48881239804696103</v>
      </c>
      <c r="K51" s="180">
        <v>0.41118744966382798</v>
      </c>
      <c r="L51" s="180">
        <v>0.16999068729709599</v>
      </c>
      <c r="M51" s="180">
        <v>0.45141272252185094</v>
      </c>
      <c r="N51" s="180">
        <v>0.19463684940668902</v>
      </c>
      <c r="O51" s="180">
        <v>6.6676024598306904E-2</v>
      </c>
      <c r="P51" s="180">
        <v>6.9631779273383904E-2</v>
      </c>
      <c r="Q51" s="180">
        <v>8.5233777198800806E-2</v>
      </c>
      <c r="R51" s="180">
        <v>3.1308047570835398E-2</v>
      </c>
      <c r="S51" s="180">
        <v>5.9501429539016003E-3</v>
      </c>
      <c r="T51" s="180">
        <v>1.28095286728432E-2</v>
      </c>
      <c r="U51" s="180">
        <v>0</v>
      </c>
      <c r="V51" s="180">
        <v>0</v>
      </c>
    </row>
    <row r="52" spans="2:22">
      <c r="B52" s="177"/>
      <c r="C52" s="178" t="s">
        <v>311</v>
      </c>
      <c r="D52" s="179">
        <v>139.87999776637508</v>
      </c>
      <c r="E52" s="180">
        <v>2.4187802957004201</v>
      </c>
      <c r="F52" s="180">
        <v>0.99886594905582404</v>
      </c>
      <c r="G52" s="180">
        <v>0.54223641695348401</v>
      </c>
      <c r="H52" s="180">
        <v>0.54569443436660503</v>
      </c>
      <c r="I52" s="180">
        <v>0.124796045652211</v>
      </c>
      <c r="J52" s="180">
        <v>5.4783280804092997E-2</v>
      </c>
      <c r="K52" s="180">
        <v>1.2413830840539399E-2</v>
      </c>
      <c r="L52" s="180">
        <v>8.3398093227461806E-2</v>
      </c>
      <c r="M52" s="180">
        <v>2.5000321898376501E-2</v>
      </c>
      <c r="N52" s="180">
        <v>1.7815287846532399E-2</v>
      </c>
      <c r="O52" s="180">
        <v>1.3776635055290001E-2</v>
      </c>
      <c r="P52" s="180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</row>
    <row r="53" spans="2:22" ht="45">
      <c r="B53" s="177"/>
      <c r="C53" s="178" t="s">
        <v>312</v>
      </c>
      <c r="D53" s="179">
        <v>11.052019874761214</v>
      </c>
      <c r="E53" s="180">
        <v>4.3120581093822805</v>
      </c>
      <c r="F53" s="180">
        <v>1</v>
      </c>
      <c r="G53" s="180">
        <v>0.76000242479062907</v>
      </c>
      <c r="H53" s="180">
        <v>0.65011220858040997</v>
      </c>
      <c r="I53" s="180">
        <v>0.49946447529175897</v>
      </c>
      <c r="J53" s="180">
        <v>0.14689276490507699</v>
      </c>
      <c r="K53" s="180">
        <v>0.16555272166657101</v>
      </c>
      <c r="L53" s="180">
        <v>9.2254856131893798E-2</v>
      </c>
      <c r="M53" s="180">
        <v>0.21119453540246599</v>
      </c>
      <c r="N53" s="180">
        <v>0.245255372537967</v>
      </c>
      <c r="O53" s="180">
        <v>9.2254856131893798E-2</v>
      </c>
      <c r="P53" s="180">
        <v>0.118939679270572</v>
      </c>
      <c r="Q53" s="180">
        <v>0.118939679270572</v>
      </c>
      <c r="R53" s="180">
        <v>0.118939679270572</v>
      </c>
      <c r="S53" s="180">
        <v>9.2254856131893798E-2</v>
      </c>
      <c r="T53" s="180">
        <v>0</v>
      </c>
      <c r="U53" s="180">
        <v>0</v>
      </c>
      <c r="V53" s="180">
        <v>0</v>
      </c>
    </row>
    <row r="54" spans="2:22">
      <c r="B54" s="177"/>
      <c r="C54" s="178" t="s">
        <v>280</v>
      </c>
      <c r="D54" s="179">
        <v>4.6112489434366992</v>
      </c>
      <c r="E54" s="180">
        <v>3.9646507591698001</v>
      </c>
      <c r="F54" s="180">
        <v>0.71361170244873706</v>
      </c>
      <c r="G54" s="180">
        <v>0.71361170244873706</v>
      </c>
      <c r="H54" s="180">
        <v>0.57717847765969299</v>
      </c>
      <c r="I54" s="180">
        <v>0.60301782539983106</v>
      </c>
      <c r="J54" s="180">
        <v>0.240256505774877</v>
      </c>
      <c r="K54" s="180">
        <v>0.10382328098583199</v>
      </c>
      <c r="L54" s="180">
        <v>0.10382328098583199</v>
      </c>
      <c r="M54" s="180">
        <v>0.10382328098583199</v>
      </c>
      <c r="N54" s="180">
        <v>0.10382328098583199</v>
      </c>
      <c r="O54" s="180">
        <v>0.10382328098583199</v>
      </c>
      <c r="P54" s="180">
        <v>0.10382328098583199</v>
      </c>
      <c r="Q54" s="180">
        <v>0.10382328098583199</v>
      </c>
      <c r="R54" s="180">
        <v>0.10382328098583199</v>
      </c>
      <c r="S54" s="180">
        <v>0</v>
      </c>
      <c r="T54" s="180">
        <v>0</v>
      </c>
      <c r="U54" s="180">
        <v>0</v>
      </c>
      <c r="V54" s="180">
        <v>0.28638829755126299</v>
      </c>
    </row>
    <row r="55" spans="2:22">
      <c r="B55" s="193" t="s">
        <v>313</v>
      </c>
      <c r="C55" s="186" t="s">
        <v>314</v>
      </c>
      <c r="D55" s="187">
        <v>41.898634028773493</v>
      </c>
      <c r="E55" s="188">
        <v>4.1307099163227097</v>
      </c>
      <c r="F55" s="188">
        <v>0.95159534657027389</v>
      </c>
      <c r="G55" s="188">
        <v>0.84294409889282307</v>
      </c>
      <c r="H55" s="188">
        <v>0.54186184251075697</v>
      </c>
      <c r="I55" s="188">
        <v>0.50388823399945304</v>
      </c>
      <c r="J55" s="188">
        <v>0.36451838634851103</v>
      </c>
      <c r="K55" s="188">
        <v>0.22191085426920198</v>
      </c>
      <c r="L55" s="188">
        <v>0.17146561601053201</v>
      </c>
      <c r="M55" s="188">
        <v>0.16379459594606502</v>
      </c>
      <c r="N55" s="188">
        <v>0.146317838346328</v>
      </c>
      <c r="O55" s="188">
        <v>4.1687399586981894E-2</v>
      </c>
      <c r="P55" s="188">
        <v>4.7677544565021303E-2</v>
      </c>
      <c r="Q55" s="188">
        <v>3.0453586563259402E-2</v>
      </c>
      <c r="R55" s="188">
        <v>3.0453586563259402E-2</v>
      </c>
      <c r="S55" s="188">
        <v>4.1687399586981894E-2</v>
      </c>
      <c r="T55" s="188">
        <v>3.0453586563259402E-2</v>
      </c>
      <c r="U55" s="188">
        <v>0</v>
      </c>
      <c r="V55" s="188">
        <v>0</v>
      </c>
    </row>
    <row r="56" spans="2:22">
      <c r="B56" s="177"/>
      <c r="C56" s="178" t="s">
        <v>315</v>
      </c>
      <c r="D56" s="179">
        <v>61.177192503772751</v>
      </c>
      <c r="E56" s="180">
        <v>3.5723960984474097</v>
      </c>
      <c r="F56" s="180">
        <v>0.96536038876650199</v>
      </c>
      <c r="G56" s="180">
        <v>0.72637375298837403</v>
      </c>
      <c r="H56" s="180">
        <v>0.65198943207498905</v>
      </c>
      <c r="I56" s="180">
        <v>0.43554088855170797</v>
      </c>
      <c r="J56" s="180">
        <v>0.23245376496915798</v>
      </c>
      <c r="K56" s="180">
        <v>0.123902089621473</v>
      </c>
      <c r="L56" s="180">
        <v>3.5453380078248199E-2</v>
      </c>
      <c r="M56" s="180">
        <v>0.21919887572792501</v>
      </c>
      <c r="N56" s="180">
        <v>3.1415352741788902E-2</v>
      </c>
      <c r="O56" s="180">
        <v>0</v>
      </c>
      <c r="P56" s="180">
        <v>1.9517531096520699E-2</v>
      </c>
      <c r="Q56" s="180">
        <v>6.2629121356645098E-2</v>
      </c>
      <c r="R56" s="180">
        <v>4.0482385660346898E-2</v>
      </c>
      <c r="S56" s="180">
        <v>0</v>
      </c>
      <c r="T56" s="180">
        <v>0</v>
      </c>
      <c r="U56" s="180">
        <v>0</v>
      </c>
      <c r="V56" s="180">
        <v>2.8079134813728798E-2</v>
      </c>
    </row>
    <row r="57" spans="2:22">
      <c r="B57" s="177"/>
      <c r="C57" s="178" t="s">
        <v>316</v>
      </c>
      <c r="D57" s="179">
        <v>152.43516721605704</v>
      </c>
      <c r="E57" s="180">
        <v>3.1160732055393598</v>
      </c>
      <c r="F57" s="180">
        <v>0.97537680832377405</v>
      </c>
      <c r="G57" s="180">
        <v>0.66745505995693899</v>
      </c>
      <c r="H57" s="180">
        <v>0.56196615423991292</v>
      </c>
      <c r="I57" s="180">
        <v>0.24304570667213798</v>
      </c>
      <c r="J57" s="180">
        <v>0.123045567105002</v>
      </c>
      <c r="K57" s="180">
        <v>0.124682806996744</v>
      </c>
      <c r="L57" s="180">
        <v>7.2297963455263001E-2</v>
      </c>
      <c r="M57" s="180">
        <v>0.137406787701609</v>
      </c>
      <c r="N57" s="180">
        <v>8.3898909542384187E-2</v>
      </c>
      <c r="O57" s="180">
        <v>3.3967438286887301E-2</v>
      </c>
      <c r="P57" s="180">
        <v>3.2190755879836802E-2</v>
      </c>
      <c r="Q57" s="180">
        <v>4.0734206224502502E-2</v>
      </c>
      <c r="R57" s="180">
        <v>8.623493667526981E-3</v>
      </c>
      <c r="S57" s="180">
        <v>4.7342114422975002E-3</v>
      </c>
      <c r="T57" s="180">
        <v>6.6473360445454795E-3</v>
      </c>
      <c r="U57" s="180">
        <v>0</v>
      </c>
      <c r="V57" s="180">
        <v>0</v>
      </c>
    </row>
    <row r="58" spans="2:22">
      <c r="B58" s="177"/>
      <c r="C58" s="178" t="s">
        <v>317</v>
      </c>
      <c r="D58" s="179">
        <v>165.21130961130058</v>
      </c>
      <c r="E58" s="180">
        <v>3.4152678522920201</v>
      </c>
      <c r="F58" s="180">
        <v>0.99404511921148697</v>
      </c>
      <c r="G58" s="180">
        <v>0.72747342657605396</v>
      </c>
      <c r="H58" s="180">
        <v>0.67461465719905211</v>
      </c>
      <c r="I58" s="180">
        <v>0.30793601542904603</v>
      </c>
      <c r="J58" s="180">
        <v>0.18307406311839</v>
      </c>
      <c r="K58" s="180">
        <v>0.10781811406992199</v>
      </c>
      <c r="L58" s="180">
        <v>0.122600397871361</v>
      </c>
      <c r="M58" s="180">
        <v>0.10108323922265</v>
      </c>
      <c r="N58" s="180">
        <v>7.7266478382045103E-2</v>
      </c>
      <c r="O58" s="180">
        <v>5.4057449215376099E-2</v>
      </c>
      <c r="P58" s="180">
        <v>3.5072635790271402E-2</v>
      </c>
      <c r="Q58" s="180">
        <v>1.2890357255399601E-2</v>
      </c>
      <c r="R58" s="180">
        <v>1.4815036936362999E-2</v>
      </c>
      <c r="S58" s="180">
        <v>0</v>
      </c>
      <c r="T58" s="180">
        <v>0</v>
      </c>
      <c r="U58" s="180">
        <v>2.5208620145989302E-3</v>
      </c>
      <c r="V58" s="180">
        <v>0</v>
      </c>
    </row>
    <row r="59" spans="2:22">
      <c r="B59" s="177"/>
      <c r="C59" s="178" t="s">
        <v>318</v>
      </c>
      <c r="D59" s="179">
        <v>241.79511322549769</v>
      </c>
      <c r="E59" s="180">
        <v>3.8445368243500799</v>
      </c>
      <c r="F59" s="180">
        <v>0.99134849195691099</v>
      </c>
      <c r="G59" s="180">
        <v>0.86119636713334202</v>
      </c>
      <c r="H59" s="180">
        <v>0.683995105667634</v>
      </c>
      <c r="I59" s="180">
        <v>0.51126555367317106</v>
      </c>
      <c r="J59" s="180">
        <v>0.237206338834028</v>
      </c>
      <c r="K59" s="180">
        <v>0.17200826856632501</v>
      </c>
      <c r="L59" s="180">
        <v>6.9769705586655406E-2</v>
      </c>
      <c r="M59" s="180">
        <v>0.101342373182308</v>
      </c>
      <c r="N59" s="180">
        <v>8.3408837606405412E-2</v>
      </c>
      <c r="O59" s="180">
        <v>5.2360639451410299E-2</v>
      </c>
      <c r="P59" s="180">
        <v>2.6914770875229501E-2</v>
      </c>
      <c r="Q59" s="180">
        <v>2.4251919808796898E-2</v>
      </c>
      <c r="R59" s="180">
        <v>1.0865968923867E-2</v>
      </c>
      <c r="S59" s="180">
        <v>1.31994435888155E-2</v>
      </c>
      <c r="T59" s="180">
        <v>5.4030394951800594E-3</v>
      </c>
      <c r="U59" s="180">
        <v>0</v>
      </c>
      <c r="V59" s="180">
        <v>0</v>
      </c>
    </row>
    <row r="60" spans="2:22">
      <c r="B60" s="177"/>
      <c r="C60" s="178" t="s">
        <v>319</v>
      </c>
      <c r="D60" s="179">
        <v>204.76992030094618</v>
      </c>
      <c r="E60" s="180">
        <v>4.2328457084879698</v>
      </c>
      <c r="F60" s="180">
        <v>0.99110466562458699</v>
      </c>
      <c r="G60" s="180">
        <v>0.91709818897317708</v>
      </c>
      <c r="H60" s="180">
        <v>0.72470286406697293</v>
      </c>
      <c r="I60" s="180">
        <v>0.60690779371493297</v>
      </c>
      <c r="J60" s="180">
        <v>0.25503970862698699</v>
      </c>
      <c r="K60" s="180">
        <v>0.18082935297753402</v>
      </c>
      <c r="L60" s="180">
        <v>0.176231880554541</v>
      </c>
      <c r="M60" s="180">
        <v>0.10347337928870599</v>
      </c>
      <c r="N60" s="180">
        <v>9.1823223457044897E-2</v>
      </c>
      <c r="O60" s="180">
        <v>7.4590130558551793E-2</v>
      </c>
      <c r="P60" s="180">
        <v>4.8140150106104701E-2</v>
      </c>
      <c r="Q60" s="180">
        <v>2.1638984366359599E-2</v>
      </c>
      <c r="R60" s="180">
        <v>2.6173847695061897E-2</v>
      </c>
      <c r="S60" s="180">
        <v>7.4277429336959402E-3</v>
      </c>
      <c r="T60" s="180">
        <v>7.6637955437185799E-3</v>
      </c>
      <c r="U60" s="180">
        <v>0</v>
      </c>
      <c r="V60" s="180">
        <v>0</v>
      </c>
    </row>
    <row r="61" spans="2:22">
      <c r="B61" s="177"/>
      <c r="C61" s="178" t="s">
        <v>320</v>
      </c>
      <c r="D61" s="179">
        <v>145.93468056154529</v>
      </c>
      <c r="E61" s="180">
        <v>4.2937728054137105</v>
      </c>
      <c r="F61" s="180">
        <v>0.97353667372471608</v>
      </c>
      <c r="G61" s="180">
        <v>0.89429356359850098</v>
      </c>
      <c r="H61" s="180">
        <v>0.75406040848687395</v>
      </c>
      <c r="I61" s="180">
        <v>0.59997652180984706</v>
      </c>
      <c r="J61" s="180">
        <v>0.27809516864664202</v>
      </c>
      <c r="K61" s="180">
        <v>0.240198008757739</v>
      </c>
      <c r="L61" s="180">
        <v>0.12949502348855199</v>
      </c>
      <c r="M61" s="180">
        <v>0.17966535429730601</v>
      </c>
      <c r="N61" s="180">
        <v>7.4900883055838904E-2</v>
      </c>
      <c r="O61" s="180">
        <v>7.0390191721488402E-2</v>
      </c>
      <c r="P61" s="180">
        <v>5.6136464434450396E-2</v>
      </c>
      <c r="Q61" s="180">
        <v>1.7042563701662503E-2</v>
      </c>
      <c r="R61" s="180">
        <v>9.1859097027821805E-3</v>
      </c>
      <c r="S61" s="180">
        <v>1.67960699873143E-2</v>
      </c>
      <c r="T61" s="180">
        <v>0</v>
      </c>
      <c r="U61" s="180">
        <v>0</v>
      </c>
      <c r="V61" s="180">
        <v>0</v>
      </c>
    </row>
    <row r="62" spans="2:22">
      <c r="B62" s="177"/>
      <c r="C62" s="178" t="s">
        <v>321</v>
      </c>
      <c r="D62" s="179">
        <v>149.00472305130882</v>
      </c>
      <c r="E62" s="180">
        <v>4.9399765449517004</v>
      </c>
      <c r="F62" s="180">
        <v>0.98657453090380198</v>
      </c>
      <c r="G62" s="180">
        <v>0.87844031008458201</v>
      </c>
      <c r="H62" s="180">
        <v>0.79109317588764494</v>
      </c>
      <c r="I62" s="180">
        <v>0.59542878496821505</v>
      </c>
      <c r="J62" s="180">
        <v>0.33046957275857403</v>
      </c>
      <c r="K62" s="180">
        <v>0.24742337658443098</v>
      </c>
      <c r="L62" s="180">
        <v>0.35887122732099397</v>
      </c>
      <c r="M62" s="180">
        <v>0.23008728728700401</v>
      </c>
      <c r="N62" s="180">
        <v>0.11816661177091699</v>
      </c>
      <c r="O62" s="180">
        <v>0.19892068376822</v>
      </c>
      <c r="P62" s="180">
        <v>0.104214889379537</v>
      </c>
      <c r="Q62" s="180">
        <v>0</v>
      </c>
      <c r="R62" s="180">
        <v>5.2684685832764401E-2</v>
      </c>
      <c r="S62" s="180">
        <v>1.7245098293811101E-2</v>
      </c>
      <c r="T62" s="180">
        <v>3.0356310111198402E-2</v>
      </c>
      <c r="U62" s="180">
        <v>0</v>
      </c>
      <c r="V62" s="180">
        <v>0</v>
      </c>
    </row>
    <row r="63" spans="2:22">
      <c r="B63" s="189"/>
      <c r="C63" s="190" t="s">
        <v>280</v>
      </c>
      <c r="D63" s="191">
        <v>19.202971301099037</v>
      </c>
      <c r="E63" s="192">
        <v>3.0502216109072098</v>
      </c>
      <c r="F63" s="192">
        <v>0.84066974213898005</v>
      </c>
      <c r="G63" s="192">
        <v>0.72866697201036901</v>
      </c>
      <c r="H63" s="192">
        <v>0.450052094073774</v>
      </c>
      <c r="I63" s="192">
        <v>0.27626488788553999</v>
      </c>
      <c r="J63" s="192">
        <v>0.154175301871876</v>
      </c>
      <c r="K63" s="192">
        <v>0.10116545017212401</v>
      </c>
      <c r="L63" s="192">
        <v>7.73735836703347E-2</v>
      </c>
      <c r="M63" s="192">
        <v>6.8971025411854001E-2</v>
      </c>
      <c r="N63" s="192">
        <v>9.2762891913643009E-2</v>
      </c>
      <c r="O63" s="192">
        <v>6.8971025411854001E-2</v>
      </c>
      <c r="P63" s="192">
        <v>2.4931297726964299E-2</v>
      </c>
      <c r="Q63" s="192">
        <v>2.4931297726964299E-2</v>
      </c>
      <c r="R63" s="192">
        <v>4.87231642287533E-2</v>
      </c>
      <c r="S63" s="192">
        <v>0</v>
      </c>
      <c r="T63" s="192">
        <v>2.3791866501788998E-2</v>
      </c>
      <c r="U63" s="192">
        <v>0</v>
      </c>
      <c r="V63" s="192">
        <v>6.8771010162386403E-2</v>
      </c>
    </row>
    <row r="64" spans="2:22">
      <c r="B64" t="s">
        <v>325</v>
      </c>
    </row>
    <row r="65" spans="2:2">
      <c r="B65" t="s">
        <v>322</v>
      </c>
    </row>
    <row r="66" spans="2:2">
      <c r="B66" t="s">
        <v>324</v>
      </c>
    </row>
    <row r="67" spans="2:2">
      <c r="B67" s="194" t="s">
        <v>323</v>
      </c>
    </row>
  </sheetData>
  <mergeCells count="10">
    <mergeCell ref="B22:B24"/>
    <mergeCell ref="B25:B31"/>
    <mergeCell ref="B32:B54"/>
    <mergeCell ref="B55:B63"/>
    <mergeCell ref="B2:C2"/>
    <mergeCell ref="B3:C3"/>
    <mergeCell ref="B4:B9"/>
    <mergeCell ref="B10:B11"/>
    <mergeCell ref="B12:B17"/>
    <mergeCell ref="B18:B21"/>
  </mergeCells>
  <phoneticPr fontId="3" type="noConversion"/>
  <hyperlinks>
    <hyperlink ref="B67" r:id="rId1" xr:uid="{82931ABC-39BB-B544-A53C-790CCD1CE5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E443-CABE-344E-824D-4C19194ADF96}">
  <dimension ref="B2:AB37"/>
  <sheetViews>
    <sheetView topLeftCell="A2" zoomScale="118" workbookViewId="0">
      <selection activeCell="E35" sqref="E35:E36"/>
    </sheetView>
  </sheetViews>
  <sheetFormatPr baseColWidth="10" defaultRowHeight="15"/>
  <sheetData>
    <row r="2" spans="2:28">
      <c r="B2" s="114" t="s">
        <v>165</v>
      </c>
      <c r="C2" s="115"/>
      <c r="D2" s="116" t="s">
        <v>166</v>
      </c>
      <c r="E2" s="116"/>
      <c r="F2" s="116"/>
      <c r="G2" s="116"/>
      <c r="H2" s="116"/>
      <c r="I2" s="116"/>
      <c r="J2" s="115"/>
      <c r="K2" s="115"/>
      <c r="L2" s="115"/>
      <c r="M2" s="115"/>
      <c r="N2" s="115"/>
      <c r="O2" s="115"/>
      <c r="P2" s="117"/>
      <c r="Q2" s="117"/>
      <c r="R2" s="117"/>
      <c r="S2" s="117"/>
      <c r="T2" s="116">
        <v>2025</v>
      </c>
      <c r="U2" s="116"/>
      <c r="V2" s="116"/>
      <c r="W2" s="116"/>
      <c r="X2" s="116"/>
      <c r="Y2" s="116"/>
      <c r="Z2" s="116"/>
      <c r="AA2" s="116"/>
      <c r="AB2" s="118" t="s">
        <v>167</v>
      </c>
    </row>
    <row r="3" spans="2:28">
      <c r="B3" s="119"/>
      <c r="C3" s="120"/>
      <c r="D3" s="116"/>
      <c r="E3" s="116"/>
      <c r="F3" s="116"/>
      <c r="G3" s="116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21"/>
      <c r="S3" s="122"/>
      <c r="T3" s="116"/>
      <c r="U3" s="116"/>
      <c r="V3" s="116"/>
      <c r="W3" s="116"/>
      <c r="X3" s="116"/>
      <c r="Y3" s="116"/>
      <c r="Z3" s="116"/>
      <c r="AA3" s="116"/>
      <c r="AB3" s="118"/>
    </row>
    <row r="4" spans="2:28">
      <c r="B4" s="123" t="s">
        <v>168</v>
      </c>
      <c r="C4" s="124" t="s">
        <v>169</v>
      </c>
      <c r="D4" s="124" t="s">
        <v>4</v>
      </c>
      <c r="E4" s="125" t="s">
        <v>5</v>
      </c>
      <c r="F4" s="125" t="s">
        <v>170</v>
      </c>
      <c r="G4" s="126"/>
      <c r="H4" s="126"/>
      <c r="I4" s="126" t="s">
        <v>171</v>
      </c>
      <c r="J4" s="126"/>
      <c r="K4" s="126"/>
      <c r="L4" s="126" t="s">
        <v>172</v>
      </c>
      <c r="M4" s="126"/>
      <c r="N4" s="126"/>
      <c r="O4" s="127"/>
      <c r="P4" s="128" t="s">
        <v>173</v>
      </c>
      <c r="Q4" s="129"/>
      <c r="R4" s="129"/>
      <c r="S4" s="130" t="s">
        <v>174</v>
      </c>
      <c r="T4" s="131"/>
      <c r="U4" s="131"/>
      <c r="V4" s="125" t="s">
        <v>175</v>
      </c>
      <c r="W4" s="126"/>
      <c r="X4" s="126"/>
      <c r="Y4" s="124" t="s">
        <v>176</v>
      </c>
      <c r="Z4" s="132"/>
      <c r="AA4" s="132"/>
      <c r="AB4" s="133" t="s">
        <v>177</v>
      </c>
    </row>
    <row r="5" spans="2:28">
      <c r="B5" s="134"/>
      <c r="C5" s="135"/>
      <c r="D5" s="135"/>
      <c r="E5" s="136"/>
      <c r="F5" s="137" t="s">
        <v>178</v>
      </c>
      <c r="G5" s="137"/>
      <c r="H5" s="137"/>
      <c r="I5" s="137" t="s">
        <v>179</v>
      </c>
      <c r="J5" s="137"/>
      <c r="K5" s="137"/>
      <c r="L5" s="137" t="s">
        <v>180</v>
      </c>
      <c r="M5" s="137"/>
      <c r="N5" s="137"/>
      <c r="O5" s="117"/>
      <c r="P5" s="138" t="s">
        <v>181</v>
      </c>
      <c r="Q5" s="138"/>
      <c r="R5" s="138"/>
      <c r="S5" s="139" t="s">
        <v>182</v>
      </c>
      <c r="T5" s="139"/>
      <c r="U5" s="139"/>
      <c r="V5" s="137" t="s">
        <v>183</v>
      </c>
      <c r="W5" s="137"/>
      <c r="X5" s="137"/>
      <c r="Y5" s="140" t="s">
        <v>184</v>
      </c>
      <c r="Z5" s="140"/>
      <c r="AA5" s="140"/>
      <c r="AB5" s="133"/>
    </row>
    <row r="6" spans="2:28">
      <c r="B6" s="134"/>
      <c r="C6" s="135"/>
      <c r="D6" s="135"/>
      <c r="E6" s="136"/>
      <c r="F6" s="137"/>
      <c r="G6" s="137"/>
      <c r="H6" s="137"/>
      <c r="I6" s="137"/>
      <c r="J6" s="137"/>
      <c r="K6" s="137"/>
      <c r="L6" s="137"/>
      <c r="M6" s="137"/>
      <c r="N6" s="137"/>
      <c r="O6" s="141"/>
      <c r="P6" s="142"/>
      <c r="Q6" s="142"/>
      <c r="R6" s="142"/>
      <c r="S6" s="139"/>
      <c r="T6" s="139"/>
      <c r="U6" s="139"/>
      <c r="V6" s="137"/>
      <c r="W6" s="137"/>
      <c r="X6" s="137"/>
      <c r="Y6" s="140"/>
      <c r="Z6" s="140"/>
      <c r="AA6" s="140"/>
      <c r="AB6" s="133"/>
    </row>
    <row r="7" spans="2:28">
      <c r="B7" s="134"/>
      <c r="C7" s="143" t="s">
        <v>185</v>
      </c>
      <c r="D7" s="143" t="s">
        <v>186</v>
      </c>
      <c r="E7" s="143" t="s">
        <v>187</v>
      </c>
      <c r="F7" s="144" t="s">
        <v>188</v>
      </c>
      <c r="G7" s="144" t="s">
        <v>4</v>
      </c>
      <c r="H7" s="144" t="s">
        <v>5</v>
      </c>
      <c r="I7" s="144" t="s">
        <v>188</v>
      </c>
      <c r="J7" s="144" t="s">
        <v>4</v>
      </c>
      <c r="K7" s="144" t="s">
        <v>5</v>
      </c>
      <c r="L7" s="144" t="s">
        <v>188</v>
      </c>
      <c r="M7" s="144" t="s">
        <v>4</v>
      </c>
      <c r="N7" s="144" t="s">
        <v>5</v>
      </c>
      <c r="O7" s="145"/>
      <c r="P7" s="146" t="s">
        <v>188</v>
      </c>
      <c r="Q7" s="146" t="s">
        <v>4</v>
      </c>
      <c r="R7" s="147" t="s">
        <v>5</v>
      </c>
      <c r="S7" s="144" t="s">
        <v>188</v>
      </c>
      <c r="T7" s="144" t="s">
        <v>4</v>
      </c>
      <c r="U7" s="144" t="s">
        <v>5</v>
      </c>
      <c r="V7" s="144" t="s">
        <v>188</v>
      </c>
      <c r="W7" s="144" t="s">
        <v>4</v>
      </c>
      <c r="X7" s="144" t="s">
        <v>5</v>
      </c>
      <c r="Y7" s="144" t="s">
        <v>188</v>
      </c>
      <c r="Z7" s="144" t="s">
        <v>4</v>
      </c>
      <c r="AA7" s="148" t="s">
        <v>5</v>
      </c>
      <c r="AB7" s="133"/>
    </row>
    <row r="8" spans="2:28">
      <c r="B8" s="149"/>
      <c r="C8" s="150"/>
      <c r="D8" s="150" t="s">
        <v>186</v>
      </c>
      <c r="E8" s="150" t="s">
        <v>187</v>
      </c>
      <c r="F8" s="151" t="s">
        <v>185</v>
      </c>
      <c r="G8" s="151" t="s">
        <v>186</v>
      </c>
      <c r="H8" s="151" t="s">
        <v>187</v>
      </c>
      <c r="I8" s="151" t="s">
        <v>185</v>
      </c>
      <c r="J8" s="151" t="s">
        <v>186</v>
      </c>
      <c r="K8" s="151" t="s">
        <v>187</v>
      </c>
      <c r="L8" s="151" t="s">
        <v>185</v>
      </c>
      <c r="M8" s="151" t="s">
        <v>186</v>
      </c>
      <c r="N8" s="151" t="s">
        <v>187</v>
      </c>
      <c r="O8" s="152"/>
      <c r="P8" s="153" t="s">
        <v>185</v>
      </c>
      <c r="Q8" s="153" t="s">
        <v>186</v>
      </c>
      <c r="R8" s="151" t="s">
        <v>187</v>
      </c>
      <c r="S8" s="151" t="s">
        <v>185</v>
      </c>
      <c r="T8" s="151" t="s">
        <v>186</v>
      </c>
      <c r="U8" s="151" t="s">
        <v>187</v>
      </c>
      <c r="V8" s="151" t="s">
        <v>185</v>
      </c>
      <c r="W8" s="151" t="s">
        <v>186</v>
      </c>
      <c r="X8" s="151" t="s">
        <v>187</v>
      </c>
      <c r="Y8" s="151" t="s">
        <v>185</v>
      </c>
      <c r="Z8" s="151" t="s">
        <v>186</v>
      </c>
      <c r="AA8" s="152" t="s">
        <v>187</v>
      </c>
      <c r="AB8" s="133"/>
    </row>
    <row r="9" spans="2:28">
      <c r="B9" s="154" t="s">
        <v>189</v>
      </c>
      <c r="C9" s="155">
        <v>11626</v>
      </c>
      <c r="D9" s="155">
        <v>6366</v>
      </c>
      <c r="E9" s="155">
        <v>5260</v>
      </c>
      <c r="F9" s="155">
        <v>355</v>
      </c>
      <c r="G9" s="155">
        <v>250</v>
      </c>
      <c r="H9" s="155">
        <v>106</v>
      </c>
      <c r="I9" s="155">
        <v>1622</v>
      </c>
      <c r="J9" s="155">
        <v>828</v>
      </c>
      <c r="K9" s="155">
        <v>794</v>
      </c>
      <c r="L9" s="155">
        <v>2106</v>
      </c>
      <c r="M9" s="155">
        <v>1123</v>
      </c>
      <c r="N9" s="155">
        <v>983</v>
      </c>
      <c r="O9" s="155"/>
      <c r="P9" s="155">
        <v>1382</v>
      </c>
      <c r="Q9" s="155">
        <v>313</v>
      </c>
      <c r="R9" s="155">
        <v>1070</v>
      </c>
      <c r="S9" s="155">
        <v>2344</v>
      </c>
      <c r="T9" s="155">
        <v>1020</v>
      </c>
      <c r="U9" s="155">
        <v>1324</v>
      </c>
      <c r="V9" s="155">
        <v>430</v>
      </c>
      <c r="W9" s="155">
        <v>306</v>
      </c>
      <c r="X9" s="155">
        <v>124</v>
      </c>
      <c r="Y9" s="155">
        <v>3387</v>
      </c>
      <c r="Z9" s="155">
        <v>2526</v>
      </c>
      <c r="AA9" s="155">
        <v>860</v>
      </c>
      <c r="AB9" s="156" t="s">
        <v>190</v>
      </c>
    </row>
    <row r="10" spans="2:28">
      <c r="B10" s="157" t="s">
        <v>191</v>
      </c>
      <c r="C10" s="155">
        <v>5333</v>
      </c>
      <c r="D10" s="155">
        <v>2877</v>
      </c>
      <c r="E10" s="155">
        <v>2456</v>
      </c>
      <c r="F10" s="155">
        <v>241</v>
      </c>
      <c r="G10" s="155">
        <v>167</v>
      </c>
      <c r="H10" s="155">
        <v>75</v>
      </c>
      <c r="I10" s="155">
        <v>902</v>
      </c>
      <c r="J10" s="155">
        <v>488</v>
      </c>
      <c r="K10" s="155">
        <v>414</v>
      </c>
      <c r="L10" s="155">
        <v>1100</v>
      </c>
      <c r="M10" s="155">
        <v>572</v>
      </c>
      <c r="N10" s="155">
        <v>528</v>
      </c>
      <c r="O10" s="155"/>
      <c r="P10" s="155">
        <v>731</v>
      </c>
      <c r="Q10" s="155">
        <v>171</v>
      </c>
      <c r="R10" s="155">
        <v>560</v>
      </c>
      <c r="S10" s="155">
        <v>1015</v>
      </c>
      <c r="T10" s="155">
        <v>464</v>
      </c>
      <c r="U10" s="155">
        <v>551</v>
      </c>
      <c r="V10" s="155">
        <v>36</v>
      </c>
      <c r="W10" s="155">
        <v>30</v>
      </c>
      <c r="X10" s="155">
        <v>5</v>
      </c>
      <c r="Y10" s="155">
        <v>1308</v>
      </c>
      <c r="Z10" s="155">
        <v>986</v>
      </c>
      <c r="AA10" s="155">
        <v>322</v>
      </c>
      <c r="AB10" s="156" t="s">
        <v>192</v>
      </c>
    </row>
    <row r="11" spans="2:28">
      <c r="B11" s="157" t="s">
        <v>193</v>
      </c>
      <c r="C11" s="155">
        <v>2076</v>
      </c>
      <c r="D11" s="155">
        <v>1122</v>
      </c>
      <c r="E11" s="155">
        <v>954</v>
      </c>
      <c r="F11" s="155">
        <v>79</v>
      </c>
      <c r="G11" s="155">
        <v>56</v>
      </c>
      <c r="H11" s="155">
        <v>23</v>
      </c>
      <c r="I11" s="155">
        <v>291</v>
      </c>
      <c r="J11" s="155">
        <v>157</v>
      </c>
      <c r="K11" s="155">
        <v>134</v>
      </c>
      <c r="L11" s="155">
        <v>464</v>
      </c>
      <c r="M11" s="155">
        <v>229</v>
      </c>
      <c r="N11" s="155">
        <v>235</v>
      </c>
      <c r="O11" s="155"/>
      <c r="P11" s="155">
        <v>288</v>
      </c>
      <c r="Q11" s="155">
        <v>67</v>
      </c>
      <c r="R11" s="155">
        <v>221</v>
      </c>
      <c r="S11" s="155">
        <v>419</v>
      </c>
      <c r="T11" s="155">
        <v>192</v>
      </c>
      <c r="U11" s="155">
        <v>227</v>
      </c>
      <c r="V11" s="155">
        <v>7</v>
      </c>
      <c r="W11" s="155">
        <v>6</v>
      </c>
      <c r="X11" s="155">
        <v>1</v>
      </c>
      <c r="Y11" s="155">
        <v>528</v>
      </c>
      <c r="Z11" s="155">
        <v>415</v>
      </c>
      <c r="AA11" s="155">
        <v>113</v>
      </c>
      <c r="AB11" s="156" t="s">
        <v>194</v>
      </c>
    </row>
    <row r="12" spans="2:28">
      <c r="B12" s="157" t="s">
        <v>195</v>
      </c>
      <c r="C12" s="155">
        <v>1141</v>
      </c>
      <c r="D12" s="155">
        <v>597</v>
      </c>
      <c r="E12" s="155">
        <v>543</v>
      </c>
      <c r="F12" s="155">
        <v>100</v>
      </c>
      <c r="G12" s="155">
        <v>64</v>
      </c>
      <c r="H12" s="155">
        <v>37</v>
      </c>
      <c r="I12" s="155">
        <v>277</v>
      </c>
      <c r="J12" s="155">
        <v>154</v>
      </c>
      <c r="K12" s="155">
        <v>124</v>
      </c>
      <c r="L12" s="155">
        <v>282</v>
      </c>
      <c r="M12" s="155">
        <v>143</v>
      </c>
      <c r="N12" s="155">
        <v>139</v>
      </c>
      <c r="O12" s="155"/>
      <c r="P12" s="155">
        <v>167</v>
      </c>
      <c r="Q12" s="155">
        <v>41</v>
      </c>
      <c r="R12" s="155">
        <v>126</v>
      </c>
      <c r="S12" s="155">
        <v>184</v>
      </c>
      <c r="T12" s="155">
        <v>91</v>
      </c>
      <c r="U12" s="155">
        <v>93</v>
      </c>
      <c r="V12" s="155">
        <v>1</v>
      </c>
      <c r="W12" s="155">
        <v>1</v>
      </c>
      <c r="X12" s="155">
        <v>0</v>
      </c>
      <c r="Y12" s="155">
        <v>128</v>
      </c>
      <c r="Z12" s="155">
        <v>104</v>
      </c>
      <c r="AA12" s="155">
        <v>24</v>
      </c>
      <c r="AB12" s="156" t="s">
        <v>196</v>
      </c>
    </row>
    <row r="13" spans="2:28">
      <c r="B13" s="157" t="s">
        <v>197</v>
      </c>
      <c r="C13" s="155">
        <v>1200</v>
      </c>
      <c r="D13" s="155">
        <v>646</v>
      </c>
      <c r="E13" s="155">
        <v>555</v>
      </c>
      <c r="F13" s="155">
        <v>29</v>
      </c>
      <c r="G13" s="155">
        <v>21</v>
      </c>
      <c r="H13" s="155">
        <v>8</v>
      </c>
      <c r="I13" s="155">
        <v>161</v>
      </c>
      <c r="J13" s="155">
        <v>83</v>
      </c>
      <c r="K13" s="155">
        <v>78</v>
      </c>
      <c r="L13" s="155">
        <v>204</v>
      </c>
      <c r="M13" s="155">
        <v>121</v>
      </c>
      <c r="N13" s="155">
        <v>82</v>
      </c>
      <c r="O13" s="155"/>
      <c r="P13" s="155">
        <v>181</v>
      </c>
      <c r="Q13" s="155">
        <v>41</v>
      </c>
      <c r="R13" s="155">
        <v>139</v>
      </c>
      <c r="S13" s="155">
        <v>224</v>
      </c>
      <c r="T13" s="155">
        <v>93</v>
      </c>
      <c r="U13" s="155">
        <v>130</v>
      </c>
      <c r="V13" s="155">
        <v>13</v>
      </c>
      <c r="W13" s="155">
        <v>10</v>
      </c>
      <c r="X13" s="155">
        <v>2</v>
      </c>
      <c r="Y13" s="155">
        <v>390</v>
      </c>
      <c r="Z13" s="155">
        <v>276</v>
      </c>
      <c r="AA13" s="155">
        <v>114</v>
      </c>
      <c r="AB13" s="156" t="s">
        <v>198</v>
      </c>
    </row>
    <row r="14" spans="2:28">
      <c r="B14" s="157" t="s">
        <v>199</v>
      </c>
      <c r="C14" s="155">
        <v>176</v>
      </c>
      <c r="D14" s="155">
        <v>98</v>
      </c>
      <c r="E14" s="155">
        <v>78</v>
      </c>
      <c r="F14" s="155">
        <v>5</v>
      </c>
      <c r="G14" s="155">
        <v>3</v>
      </c>
      <c r="H14" s="155">
        <v>1</v>
      </c>
      <c r="I14" s="155">
        <v>26</v>
      </c>
      <c r="J14" s="155">
        <v>13</v>
      </c>
      <c r="K14" s="155">
        <v>13</v>
      </c>
      <c r="L14" s="155">
        <v>35</v>
      </c>
      <c r="M14" s="155">
        <v>18</v>
      </c>
      <c r="N14" s="155">
        <v>17</v>
      </c>
      <c r="O14" s="155"/>
      <c r="P14" s="155">
        <v>22</v>
      </c>
      <c r="Q14" s="155">
        <v>6</v>
      </c>
      <c r="R14" s="155">
        <v>16</v>
      </c>
      <c r="S14" s="155">
        <v>40</v>
      </c>
      <c r="T14" s="155">
        <v>19</v>
      </c>
      <c r="U14" s="155">
        <v>21</v>
      </c>
      <c r="V14" s="155">
        <v>1</v>
      </c>
      <c r="W14" s="155">
        <v>1</v>
      </c>
      <c r="X14" s="155">
        <v>0</v>
      </c>
      <c r="Y14" s="155">
        <v>48</v>
      </c>
      <c r="Z14" s="155">
        <v>39</v>
      </c>
      <c r="AA14" s="155">
        <v>9</v>
      </c>
      <c r="AB14" s="156" t="s">
        <v>200</v>
      </c>
    </row>
    <row r="15" spans="2:28">
      <c r="B15" s="157" t="s">
        <v>201</v>
      </c>
      <c r="C15" s="155">
        <v>220</v>
      </c>
      <c r="D15" s="155">
        <v>120</v>
      </c>
      <c r="E15" s="155">
        <v>100</v>
      </c>
      <c r="F15" s="155">
        <v>12</v>
      </c>
      <c r="G15" s="155">
        <v>9</v>
      </c>
      <c r="H15" s="155">
        <v>3</v>
      </c>
      <c r="I15" s="155">
        <v>59</v>
      </c>
      <c r="J15" s="155">
        <v>35</v>
      </c>
      <c r="K15" s="155">
        <v>24</v>
      </c>
      <c r="L15" s="155">
        <v>32</v>
      </c>
      <c r="M15" s="155">
        <v>16</v>
      </c>
      <c r="N15" s="155">
        <v>16</v>
      </c>
      <c r="O15" s="155"/>
      <c r="P15" s="155">
        <v>25</v>
      </c>
      <c r="Q15" s="155">
        <v>5</v>
      </c>
      <c r="R15" s="155">
        <v>20</v>
      </c>
      <c r="S15" s="155">
        <v>43</v>
      </c>
      <c r="T15" s="155">
        <v>21</v>
      </c>
      <c r="U15" s="155">
        <v>23</v>
      </c>
      <c r="V15" s="155">
        <v>0</v>
      </c>
      <c r="W15" s="155">
        <v>0</v>
      </c>
      <c r="X15" s="155">
        <v>0</v>
      </c>
      <c r="Y15" s="155">
        <v>49</v>
      </c>
      <c r="Z15" s="155">
        <v>34</v>
      </c>
      <c r="AA15" s="155">
        <v>15</v>
      </c>
      <c r="AB15" s="156" t="s">
        <v>202</v>
      </c>
    </row>
    <row r="16" spans="2:28">
      <c r="B16" s="157" t="s">
        <v>203</v>
      </c>
      <c r="C16" s="155">
        <v>226</v>
      </c>
      <c r="D16" s="155">
        <v>127</v>
      </c>
      <c r="E16" s="155">
        <v>99</v>
      </c>
      <c r="F16" s="155">
        <v>4</v>
      </c>
      <c r="G16" s="155">
        <v>3</v>
      </c>
      <c r="H16" s="155">
        <v>1</v>
      </c>
      <c r="I16" s="155">
        <v>28</v>
      </c>
      <c r="J16" s="155">
        <v>11</v>
      </c>
      <c r="K16" s="155">
        <v>17</v>
      </c>
      <c r="L16" s="155">
        <v>36</v>
      </c>
      <c r="M16" s="155">
        <v>20</v>
      </c>
      <c r="N16" s="155">
        <v>16</v>
      </c>
      <c r="O16" s="155"/>
      <c r="P16" s="155">
        <v>21</v>
      </c>
      <c r="Q16" s="155">
        <v>5</v>
      </c>
      <c r="R16" s="155">
        <v>16</v>
      </c>
      <c r="S16" s="155">
        <v>56</v>
      </c>
      <c r="T16" s="155">
        <v>26</v>
      </c>
      <c r="U16" s="155">
        <v>30</v>
      </c>
      <c r="V16" s="155">
        <v>8</v>
      </c>
      <c r="W16" s="155">
        <v>7</v>
      </c>
      <c r="X16" s="155">
        <v>1</v>
      </c>
      <c r="Y16" s="155">
        <v>73</v>
      </c>
      <c r="Z16" s="155">
        <v>57</v>
      </c>
      <c r="AA16" s="155">
        <v>17</v>
      </c>
      <c r="AB16" s="156" t="s">
        <v>204</v>
      </c>
    </row>
    <row r="17" spans="2:28">
      <c r="B17" s="157" t="s">
        <v>205</v>
      </c>
      <c r="C17" s="155">
        <v>294</v>
      </c>
      <c r="D17" s="155">
        <v>167</v>
      </c>
      <c r="E17" s="155">
        <v>127</v>
      </c>
      <c r="F17" s="155">
        <v>12</v>
      </c>
      <c r="G17" s="155">
        <v>10</v>
      </c>
      <c r="H17" s="155">
        <v>3</v>
      </c>
      <c r="I17" s="155">
        <v>60</v>
      </c>
      <c r="J17" s="155">
        <v>36</v>
      </c>
      <c r="K17" s="155">
        <v>24</v>
      </c>
      <c r="L17" s="155">
        <v>47</v>
      </c>
      <c r="M17" s="155">
        <v>24</v>
      </c>
      <c r="N17" s="155">
        <v>23</v>
      </c>
      <c r="O17" s="155"/>
      <c r="P17" s="155">
        <v>28</v>
      </c>
      <c r="Q17" s="155">
        <v>7</v>
      </c>
      <c r="R17" s="155">
        <v>22</v>
      </c>
      <c r="S17" s="155">
        <v>48</v>
      </c>
      <c r="T17" s="155">
        <v>22</v>
      </c>
      <c r="U17" s="155">
        <v>26</v>
      </c>
      <c r="V17" s="155">
        <v>6</v>
      </c>
      <c r="W17" s="155">
        <v>6</v>
      </c>
      <c r="X17" s="155">
        <v>1</v>
      </c>
      <c r="Y17" s="155">
        <v>92</v>
      </c>
      <c r="Z17" s="155">
        <v>62</v>
      </c>
      <c r="AA17" s="155">
        <v>29</v>
      </c>
      <c r="AB17" s="156" t="s">
        <v>206</v>
      </c>
    </row>
    <row r="18" spans="2:28">
      <c r="B18" s="157" t="s">
        <v>207</v>
      </c>
      <c r="C18" s="155">
        <v>2904</v>
      </c>
      <c r="D18" s="155">
        <v>1620</v>
      </c>
      <c r="E18" s="155">
        <v>1284</v>
      </c>
      <c r="F18" s="155">
        <v>57</v>
      </c>
      <c r="G18" s="155">
        <v>41</v>
      </c>
      <c r="H18" s="155">
        <v>15</v>
      </c>
      <c r="I18" s="155">
        <v>347</v>
      </c>
      <c r="J18" s="155">
        <v>167</v>
      </c>
      <c r="K18" s="155">
        <v>179</v>
      </c>
      <c r="L18" s="155">
        <v>498</v>
      </c>
      <c r="M18" s="155">
        <v>268</v>
      </c>
      <c r="N18" s="155">
        <v>230</v>
      </c>
      <c r="O18" s="155"/>
      <c r="P18" s="155">
        <v>300</v>
      </c>
      <c r="Q18" s="155">
        <v>61</v>
      </c>
      <c r="R18" s="155">
        <v>239</v>
      </c>
      <c r="S18" s="155">
        <v>582</v>
      </c>
      <c r="T18" s="155">
        <v>253</v>
      </c>
      <c r="U18" s="155">
        <v>329</v>
      </c>
      <c r="V18" s="155">
        <v>182</v>
      </c>
      <c r="W18" s="155">
        <v>127</v>
      </c>
      <c r="X18" s="155">
        <v>55</v>
      </c>
      <c r="Y18" s="155">
        <v>938</v>
      </c>
      <c r="Z18" s="155">
        <v>701</v>
      </c>
      <c r="AA18" s="155">
        <v>237</v>
      </c>
      <c r="AB18" s="156" t="s">
        <v>208</v>
      </c>
    </row>
    <row r="19" spans="2:28">
      <c r="B19" s="157" t="s">
        <v>209</v>
      </c>
      <c r="C19" s="155">
        <v>1463</v>
      </c>
      <c r="D19" s="155">
        <v>789</v>
      </c>
      <c r="E19" s="155">
        <v>674</v>
      </c>
      <c r="F19" s="155">
        <v>32</v>
      </c>
      <c r="G19" s="155">
        <v>23</v>
      </c>
      <c r="H19" s="155">
        <v>9</v>
      </c>
      <c r="I19" s="155">
        <v>202</v>
      </c>
      <c r="J19" s="155">
        <v>97</v>
      </c>
      <c r="K19" s="155">
        <v>104</v>
      </c>
      <c r="L19" s="155">
        <v>299</v>
      </c>
      <c r="M19" s="155">
        <v>166</v>
      </c>
      <c r="N19" s="155">
        <v>133</v>
      </c>
      <c r="O19" s="155"/>
      <c r="P19" s="155">
        <v>194</v>
      </c>
      <c r="Q19" s="155">
        <v>36</v>
      </c>
      <c r="R19" s="155">
        <v>158</v>
      </c>
      <c r="S19" s="155">
        <v>295</v>
      </c>
      <c r="T19" s="155">
        <v>130</v>
      </c>
      <c r="U19" s="155">
        <v>166</v>
      </c>
      <c r="V19" s="155">
        <v>26</v>
      </c>
      <c r="W19" s="155">
        <v>21</v>
      </c>
      <c r="X19" s="155">
        <v>6</v>
      </c>
      <c r="Y19" s="155">
        <v>415</v>
      </c>
      <c r="Z19" s="155">
        <v>316</v>
      </c>
      <c r="AA19" s="155">
        <v>99</v>
      </c>
      <c r="AB19" s="156" t="s">
        <v>210</v>
      </c>
    </row>
    <row r="20" spans="2:28">
      <c r="B20" s="157" t="s">
        <v>211</v>
      </c>
      <c r="C20" s="155">
        <v>267</v>
      </c>
      <c r="D20" s="155">
        <v>152</v>
      </c>
      <c r="E20" s="155">
        <v>115</v>
      </c>
      <c r="F20" s="155">
        <v>6</v>
      </c>
      <c r="G20" s="155">
        <v>4</v>
      </c>
      <c r="H20" s="155">
        <v>1</v>
      </c>
      <c r="I20" s="155">
        <v>31</v>
      </c>
      <c r="J20" s="155">
        <v>18</v>
      </c>
      <c r="K20" s="155">
        <v>13</v>
      </c>
      <c r="L20" s="155">
        <v>43</v>
      </c>
      <c r="M20" s="155">
        <v>22</v>
      </c>
      <c r="N20" s="155">
        <v>21</v>
      </c>
      <c r="O20" s="155"/>
      <c r="P20" s="155">
        <v>22</v>
      </c>
      <c r="Q20" s="155">
        <v>5</v>
      </c>
      <c r="R20" s="155">
        <v>17</v>
      </c>
      <c r="S20" s="155">
        <v>51</v>
      </c>
      <c r="T20" s="155">
        <v>22</v>
      </c>
      <c r="U20" s="155">
        <v>28</v>
      </c>
      <c r="V20" s="155">
        <v>18</v>
      </c>
      <c r="W20" s="155">
        <v>11</v>
      </c>
      <c r="X20" s="155">
        <v>7</v>
      </c>
      <c r="Y20" s="155">
        <v>97</v>
      </c>
      <c r="Z20" s="155">
        <v>69</v>
      </c>
      <c r="AA20" s="155">
        <v>28</v>
      </c>
      <c r="AB20" s="156" t="s">
        <v>212</v>
      </c>
    </row>
    <row r="21" spans="2:28">
      <c r="B21" s="157" t="s">
        <v>213</v>
      </c>
      <c r="C21" s="155">
        <v>605</v>
      </c>
      <c r="D21" s="155">
        <v>345</v>
      </c>
      <c r="E21" s="155">
        <v>259</v>
      </c>
      <c r="F21" s="155">
        <v>9</v>
      </c>
      <c r="G21" s="155">
        <v>7</v>
      </c>
      <c r="H21" s="155">
        <v>2</v>
      </c>
      <c r="I21" s="155">
        <v>60</v>
      </c>
      <c r="J21" s="155">
        <v>28</v>
      </c>
      <c r="K21" s="155">
        <v>31</v>
      </c>
      <c r="L21" s="155">
        <v>102</v>
      </c>
      <c r="M21" s="155">
        <v>51</v>
      </c>
      <c r="N21" s="155">
        <v>50</v>
      </c>
      <c r="O21" s="155"/>
      <c r="P21" s="155">
        <v>43</v>
      </c>
      <c r="Q21" s="155">
        <v>11</v>
      </c>
      <c r="R21" s="155">
        <v>33</v>
      </c>
      <c r="S21" s="155">
        <v>109</v>
      </c>
      <c r="T21" s="155">
        <v>47</v>
      </c>
      <c r="U21" s="155">
        <v>62</v>
      </c>
      <c r="V21" s="155">
        <v>47</v>
      </c>
      <c r="W21" s="155">
        <v>34</v>
      </c>
      <c r="X21" s="155">
        <v>14</v>
      </c>
      <c r="Y21" s="155">
        <v>235</v>
      </c>
      <c r="Z21" s="155">
        <v>168</v>
      </c>
      <c r="AA21" s="155">
        <v>67</v>
      </c>
      <c r="AB21" s="156" t="s">
        <v>214</v>
      </c>
    </row>
    <row r="22" spans="2:28">
      <c r="B22" s="157" t="s">
        <v>215</v>
      </c>
      <c r="C22" s="155">
        <v>237</v>
      </c>
      <c r="D22" s="155">
        <v>138</v>
      </c>
      <c r="E22" s="155">
        <v>99</v>
      </c>
      <c r="F22" s="155">
        <v>5</v>
      </c>
      <c r="G22" s="155">
        <v>3</v>
      </c>
      <c r="H22" s="155">
        <v>1</v>
      </c>
      <c r="I22" s="155">
        <v>23</v>
      </c>
      <c r="J22" s="155">
        <v>11</v>
      </c>
      <c r="K22" s="155">
        <v>13</v>
      </c>
      <c r="L22" s="155">
        <v>26</v>
      </c>
      <c r="M22" s="155">
        <v>13</v>
      </c>
      <c r="N22" s="155">
        <v>13</v>
      </c>
      <c r="O22" s="155"/>
      <c r="P22" s="155">
        <v>18</v>
      </c>
      <c r="Q22" s="155">
        <v>4</v>
      </c>
      <c r="R22" s="155">
        <v>13</v>
      </c>
      <c r="S22" s="155">
        <v>55</v>
      </c>
      <c r="T22" s="155">
        <v>23</v>
      </c>
      <c r="U22" s="155">
        <v>31</v>
      </c>
      <c r="V22" s="155">
        <v>35</v>
      </c>
      <c r="W22" s="155">
        <v>25</v>
      </c>
      <c r="X22" s="155">
        <v>10</v>
      </c>
      <c r="Y22" s="155">
        <v>76</v>
      </c>
      <c r="Z22" s="155">
        <v>59</v>
      </c>
      <c r="AA22" s="155">
        <v>18</v>
      </c>
      <c r="AB22" s="156" t="s">
        <v>216</v>
      </c>
    </row>
    <row r="23" spans="2:28">
      <c r="B23" s="157" t="s">
        <v>217</v>
      </c>
      <c r="C23" s="155">
        <v>331</v>
      </c>
      <c r="D23" s="155">
        <v>195</v>
      </c>
      <c r="E23" s="155">
        <v>136</v>
      </c>
      <c r="F23" s="155">
        <v>6</v>
      </c>
      <c r="G23" s="155">
        <v>4</v>
      </c>
      <c r="H23" s="155">
        <v>2</v>
      </c>
      <c r="I23" s="155">
        <v>31</v>
      </c>
      <c r="J23" s="155">
        <v>13</v>
      </c>
      <c r="K23" s="155">
        <v>17</v>
      </c>
      <c r="L23" s="155">
        <v>29</v>
      </c>
      <c r="M23" s="155">
        <v>16</v>
      </c>
      <c r="N23" s="155">
        <v>13</v>
      </c>
      <c r="O23" s="155"/>
      <c r="P23" s="155">
        <v>23</v>
      </c>
      <c r="Q23" s="155">
        <v>5</v>
      </c>
      <c r="R23" s="155">
        <v>18</v>
      </c>
      <c r="S23" s="155">
        <v>73</v>
      </c>
      <c r="T23" s="155">
        <v>31</v>
      </c>
      <c r="U23" s="155">
        <v>42</v>
      </c>
      <c r="V23" s="155">
        <v>55</v>
      </c>
      <c r="W23" s="155">
        <v>37</v>
      </c>
      <c r="X23" s="155">
        <v>19</v>
      </c>
      <c r="Y23" s="155">
        <v>114</v>
      </c>
      <c r="Z23" s="155">
        <v>88</v>
      </c>
      <c r="AA23" s="155">
        <v>25</v>
      </c>
      <c r="AB23" s="156" t="s">
        <v>218</v>
      </c>
    </row>
    <row r="24" spans="2:28">
      <c r="B24" s="157" t="s">
        <v>219</v>
      </c>
      <c r="C24" s="155">
        <v>3134</v>
      </c>
      <c r="D24" s="155">
        <v>1729</v>
      </c>
      <c r="E24" s="155">
        <v>1405</v>
      </c>
      <c r="F24" s="155">
        <v>53</v>
      </c>
      <c r="G24" s="155">
        <v>39</v>
      </c>
      <c r="H24" s="155">
        <v>14</v>
      </c>
      <c r="I24" s="155">
        <v>351</v>
      </c>
      <c r="J24" s="155">
        <v>165</v>
      </c>
      <c r="K24" s="155">
        <v>186</v>
      </c>
      <c r="L24" s="155">
        <v>485</v>
      </c>
      <c r="M24" s="155">
        <v>269</v>
      </c>
      <c r="N24" s="155">
        <v>216</v>
      </c>
      <c r="O24" s="155"/>
      <c r="P24" s="155">
        <v>323</v>
      </c>
      <c r="Q24" s="155">
        <v>74</v>
      </c>
      <c r="R24" s="155">
        <v>249</v>
      </c>
      <c r="S24" s="155">
        <v>679</v>
      </c>
      <c r="T24" s="155">
        <v>278</v>
      </c>
      <c r="U24" s="155">
        <v>401</v>
      </c>
      <c r="V24" s="155">
        <v>189</v>
      </c>
      <c r="W24" s="155">
        <v>132</v>
      </c>
      <c r="X24" s="155">
        <v>57</v>
      </c>
      <c r="Y24" s="155">
        <v>1054</v>
      </c>
      <c r="Z24" s="155">
        <v>772</v>
      </c>
      <c r="AA24" s="155">
        <v>281</v>
      </c>
      <c r="AB24" s="156" t="s">
        <v>220</v>
      </c>
    </row>
    <row r="25" spans="2:28">
      <c r="B25" s="157" t="s">
        <v>221</v>
      </c>
      <c r="C25" s="155">
        <v>963</v>
      </c>
      <c r="D25" s="155">
        <v>528</v>
      </c>
      <c r="E25" s="155">
        <v>435</v>
      </c>
      <c r="F25" s="155">
        <v>16</v>
      </c>
      <c r="G25" s="155">
        <v>12</v>
      </c>
      <c r="H25" s="155">
        <v>4</v>
      </c>
      <c r="I25" s="155">
        <v>115</v>
      </c>
      <c r="J25" s="155">
        <v>58</v>
      </c>
      <c r="K25" s="155">
        <v>57</v>
      </c>
      <c r="L25" s="155">
        <v>136</v>
      </c>
      <c r="M25" s="155">
        <v>73</v>
      </c>
      <c r="N25" s="155">
        <v>63</v>
      </c>
      <c r="O25" s="155"/>
      <c r="P25" s="155">
        <v>94</v>
      </c>
      <c r="Q25" s="155">
        <v>22</v>
      </c>
      <c r="R25" s="155">
        <v>72</v>
      </c>
      <c r="S25" s="155">
        <v>197</v>
      </c>
      <c r="T25" s="155">
        <v>82</v>
      </c>
      <c r="U25" s="155">
        <v>115</v>
      </c>
      <c r="V25" s="155">
        <v>57</v>
      </c>
      <c r="W25" s="155">
        <v>38</v>
      </c>
      <c r="X25" s="155">
        <v>18</v>
      </c>
      <c r="Y25" s="155">
        <v>349</v>
      </c>
      <c r="Z25" s="155">
        <v>242</v>
      </c>
      <c r="AA25" s="155">
        <v>106</v>
      </c>
      <c r="AB25" s="156" t="s">
        <v>222</v>
      </c>
    </row>
    <row r="26" spans="2:28">
      <c r="B26" s="157" t="s">
        <v>223</v>
      </c>
      <c r="C26" s="155">
        <v>1352</v>
      </c>
      <c r="D26" s="155">
        <v>739</v>
      </c>
      <c r="E26" s="155">
        <v>613</v>
      </c>
      <c r="F26" s="155">
        <v>25</v>
      </c>
      <c r="G26" s="155">
        <v>18</v>
      </c>
      <c r="H26" s="155">
        <v>7</v>
      </c>
      <c r="I26" s="155">
        <v>165</v>
      </c>
      <c r="J26" s="155">
        <v>78</v>
      </c>
      <c r="K26" s="155">
        <v>86</v>
      </c>
      <c r="L26" s="155">
        <v>244</v>
      </c>
      <c r="M26" s="155">
        <v>143</v>
      </c>
      <c r="N26" s="155">
        <v>100</v>
      </c>
      <c r="O26" s="155"/>
      <c r="P26" s="155">
        <v>171</v>
      </c>
      <c r="Q26" s="155">
        <v>37</v>
      </c>
      <c r="R26" s="155">
        <v>134</v>
      </c>
      <c r="S26" s="155">
        <v>293</v>
      </c>
      <c r="T26" s="155">
        <v>120</v>
      </c>
      <c r="U26" s="155">
        <v>173</v>
      </c>
      <c r="V26" s="155">
        <v>31</v>
      </c>
      <c r="W26" s="155">
        <v>22</v>
      </c>
      <c r="X26" s="155">
        <v>9</v>
      </c>
      <c r="Y26" s="155">
        <v>423</v>
      </c>
      <c r="Z26" s="155">
        <v>320</v>
      </c>
      <c r="AA26" s="155">
        <v>103</v>
      </c>
      <c r="AB26" s="156" t="s">
        <v>224</v>
      </c>
    </row>
    <row r="27" spans="2:28">
      <c r="B27" s="157" t="s">
        <v>225</v>
      </c>
      <c r="C27" s="155">
        <v>124</v>
      </c>
      <c r="D27" s="155">
        <v>65</v>
      </c>
      <c r="E27" s="155">
        <v>59</v>
      </c>
      <c r="F27" s="155">
        <v>3</v>
      </c>
      <c r="G27" s="155">
        <v>2</v>
      </c>
      <c r="H27" s="155">
        <v>1</v>
      </c>
      <c r="I27" s="155">
        <v>21</v>
      </c>
      <c r="J27" s="155">
        <v>9</v>
      </c>
      <c r="K27" s="155">
        <v>12</v>
      </c>
      <c r="L27" s="155">
        <v>24</v>
      </c>
      <c r="M27" s="155">
        <v>12</v>
      </c>
      <c r="N27" s="155">
        <v>12</v>
      </c>
      <c r="O27" s="155"/>
      <c r="P27" s="155">
        <v>13</v>
      </c>
      <c r="Q27" s="155">
        <v>3</v>
      </c>
      <c r="R27" s="155">
        <v>10</v>
      </c>
      <c r="S27" s="155">
        <v>32</v>
      </c>
      <c r="T27" s="155">
        <v>14</v>
      </c>
      <c r="U27" s="155">
        <v>18</v>
      </c>
      <c r="V27" s="155">
        <v>1</v>
      </c>
      <c r="W27" s="155">
        <v>1</v>
      </c>
      <c r="X27" s="155">
        <v>0</v>
      </c>
      <c r="Y27" s="155">
        <v>30</v>
      </c>
      <c r="Z27" s="155">
        <v>25</v>
      </c>
      <c r="AA27" s="155">
        <v>6</v>
      </c>
      <c r="AB27" s="156" t="s">
        <v>226</v>
      </c>
    </row>
    <row r="28" spans="2:28">
      <c r="B28" s="157" t="s">
        <v>227</v>
      </c>
      <c r="C28" s="155">
        <v>247</v>
      </c>
      <c r="D28" s="155">
        <v>145</v>
      </c>
      <c r="E28" s="155">
        <v>102</v>
      </c>
      <c r="F28" s="155">
        <v>3</v>
      </c>
      <c r="G28" s="155">
        <v>3</v>
      </c>
      <c r="H28" s="155">
        <v>0</v>
      </c>
      <c r="I28" s="155">
        <v>13</v>
      </c>
      <c r="J28" s="155">
        <v>5</v>
      </c>
      <c r="K28" s="155">
        <v>8</v>
      </c>
      <c r="L28" s="155">
        <v>24</v>
      </c>
      <c r="M28" s="155">
        <v>13</v>
      </c>
      <c r="N28" s="155">
        <v>11</v>
      </c>
      <c r="O28" s="155"/>
      <c r="P28" s="155">
        <v>16</v>
      </c>
      <c r="Q28" s="155">
        <v>4</v>
      </c>
      <c r="R28" s="155">
        <v>11</v>
      </c>
      <c r="S28" s="155">
        <v>49</v>
      </c>
      <c r="T28" s="155">
        <v>21</v>
      </c>
      <c r="U28" s="155">
        <v>29</v>
      </c>
      <c r="V28" s="155">
        <v>47</v>
      </c>
      <c r="W28" s="155">
        <v>32</v>
      </c>
      <c r="X28" s="155">
        <v>15</v>
      </c>
      <c r="Y28" s="155">
        <v>94</v>
      </c>
      <c r="Z28" s="155">
        <v>66</v>
      </c>
      <c r="AA28" s="155">
        <v>29</v>
      </c>
      <c r="AB28" s="156" t="s">
        <v>228</v>
      </c>
    </row>
    <row r="29" spans="2:28">
      <c r="B29" s="157" t="s">
        <v>229</v>
      </c>
      <c r="C29" s="155">
        <v>401</v>
      </c>
      <c r="D29" s="155">
        <v>226</v>
      </c>
      <c r="E29" s="155">
        <v>174</v>
      </c>
      <c r="F29" s="155">
        <v>4</v>
      </c>
      <c r="G29" s="155">
        <v>3</v>
      </c>
      <c r="H29" s="155">
        <v>1</v>
      </c>
      <c r="I29" s="155">
        <v>32</v>
      </c>
      <c r="J29" s="155">
        <v>12</v>
      </c>
      <c r="K29" s="155">
        <v>19</v>
      </c>
      <c r="L29" s="155">
        <v>52</v>
      </c>
      <c r="M29" s="155">
        <v>25</v>
      </c>
      <c r="N29" s="155">
        <v>27</v>
      </c>
      <c r="O29" s="155"/>
      <c r="P29" s="155">
        <v>23</v>
      </c>
      <c r="Q29" s="155">
        <v>6</v>
      </c>
      <c r="R29" s="155">
        <v>18</v>
      </c>
      <c r="S29" s="155">
        <v>97</v>
      </c>
      <c r="T29" s="155">
        <v>37</v>
      </c>
      <c r="U29" s="155">
        <v>60</v>
      </c>
      <c r="V29" s="155">
        <v>49</v>
      </c>
      <c r="W29" s="155">
        <v>35</v>
      </c>
      <c r="X29" s="155">
        <v>15</v>
      </c>
      <c r="Y29" s="155">
        <v>143</v>
      </c>
      <c r="Z29" s="155">
        <v>109</v>
      </c>
      <c r="AA29" s="155">
        <v>34</v>
      </c>
      <c r="AB29" s="156" t="s">
        <v>230</v>
      </c>
    </row>
    <row r="30" spans="2:28">
      <c r="B30" s="157" t="s">
        <v>231</v>
      </c>
      <c r="C30" s="155">
        <v>47</v>
      </c>
      <c r="D30" s="155">
        <v>26</v>
      </c>
      <c r="E30" s="155">
        <v>21</v>
      </c>
      <c r="F30" s="155">
        <v>1</v>
      </c>
      <c r="G30" s="155">
        <v>1</v>
      </c>
      <c r="H30" s="155">
        <v>0</v>
      </c>
      <c r="I30" s="155">
        <v>5</v>
      </c>
      <c r="J30" s="155">
        <v>2</v>
      </c>
      <c r="K30" s="155">
        <v>3</v>
      </c>
      <c r="L30" s="155">
        <v>5</v>
      </c>
      <c r="M30" s="155">
        <v>3</v>
      </c>
      <c r="N30" s="155">
        <v>2</v>
      </c>
      <c r="O30" s="155"/>
      <c r="P30" s="155">
        <v>6</v>
      </c>
      <c r="Q30" s="155">
        <v>2</v>
      </c>
      <c r="R30" s="155">
        <v>5</v>
      </c>
      <c r="S30" s="155">
        <v>12</v>
      </c>
      <c r="T30" s="155">
        <v>5</v>
      </c>
      <c r="U30" s="155">
        <v>7</v>
      </c>
      <c r="V30" s="155">
        <v>3</v>
      </c>
      <c r="W30" s="155">
        <v>3</v>
      </c>
      <c r="X30" s="155">
        <v>0</v>
      </c>
      <c r="Y30" s="155">
        <v>14</v>
      </c>
      <c r="Z30" s="155">
        <v>11</v>
      </c>
      <c r="AA30" s="155">
        <v>4</v>
      </c>
      <c r="AB30" s="156" t="s">
        <v>232</v>
      </c>
    </row>
    <row r="31" spans="2:28">
      <c r="B31" s="157" t="s">
        <v>233</v>
      </c>
      <c r="C31" s="155">
        <v>255</v>
      </c>
      <c r="D31" s="155">
        <v>140</v>
      </c>
      <c r="E31" s="155">
        <v>115</v>
      </c>
      <c r="F31" s="155">
        <v>4</v>
      </c>
      <c r="G31" s="155">
        <v>3</v>
      </c>
      <c r="H31" s="155">
        <v>1</v>
      </c>
      <c r="I31" s="155">
        <v>22</v>
      </c>
      <c r="J31" s="155">
        <v>7</v>
      </c>
      <c r="K31" s="155">
        <v>15</v>
      </c>
      <c r="L31" s="155">
        <v>23</v>
      </c>
      <c r="M31" s="155">
        <v>14</v>
      </c>
      <c r="N31" s="155">
        <v>10</v>
      </c>
      <c r="O31" s="155"/>
      <c r="P31" s="155">
        <v>28</v>
      </c>
      <c r="Q31" s="155">
        <v>7</v>
      </c>
      <c r="R31" s="155">
        <v>21</v>
      </c>
      <c r="S31" s="155">
        <v>67</v>
      </c>
      <c r="T31" s="155">
        <v>25</v>
      </c>
      <c r="U31" s="155">
        <v>42</v>
      </c>
      <c r="V31" s="155">
        <v>23</v>
      </c>
      <c r="W31" s="155">
        <v>16</v>
      </c>
      <c r="X31" s="155">
        <v>7</v>
      </c>
      <c r="Y31" s="155">
        <v>87</v>
      </c>
      <c r="Z31" s="155">
        <v>68</v>
      </c>
      <c r="AA31" s="155">
        <v>20</v>
      </c>
      <c r="AB31" s="156" t="s">
        <v>234</v>
      </c>
    </row>
    <row r="32" spans="2:28">
      <c r="B32" s="157" t="s">
        <v>235</v>
      </c>
      <c r="C32" s="155">
        <v>103</v>
      </c>
      <c r="D32" s="155">
        <v>58</v>
      </c>
      <c r="E32" s="155">
        <v>46</v>
      </c>
      <c r="F32" s="155">
        <v>2</v>
      </c>
      <c r="G32" s="155">
        <v>1</v>
      </c>
      <c r="H32" s="155">
        <v>0</v>
      </c>
      <c r="I32" s="155">
        <v>8</v>
      </c>
      <c r="J32" s="155">
        <v>2</v>
      </c>
      <c r="K32" s="155">
        <v>6</v>
      </c>
      <c r="L32" s="155">
        <v>9</v>
      </c>
      <c r="M32" s="155">
        <v>5</v>
      </c>
      <c r="N32" s="155">
        <v>4</v>
      </c>
      <c r="O32" s="155"/>
      <c r="P32" s="155">
        <v>10</v>
      </c>
      <c r="Q32" s="155">
        <v>3</v>
      </c>
      <c r="R32" s="155">
        <v>7</v>
      </c>
      <c r="S32" s="155">
        <v>25</v>
      </c>
      <c r="T32" s="155">
        <v>9</v>
      </c>
      <c r="U32" s="155">
        <v>16</v>
      </c>
      <c r="V32" s="155">
        <v>15</v>
      </c>
      <c r="W32" s="155">
        <v>10</v>
      </c>
      <c r="X32" s="155">
        <v>5</v>
      </c>
      <c r="Y32" s="155">
        <v>35</v>
      </c>
      <c r="Z32" s="155">
        <v>27</v>
      </c>
      <c r="AA32" s="155">
        <v>8</v>
      </c>
      <c r="AB32" s="156" t="s">
        <v>236</v>
      </c>
    </row>
    <row r="33" spans="2:28">
      <c r="B33" s="158" t="s">
        <v>237</v>
      </c>
      <c r="C33" s="159">
        <v>152</v>
      </c>
      <c r="D33" s="159">
        <v>82</v>
      </c>
      <c r="E33" s="159">
        <v>69</v>
      </c>
      <c r="F33" s="159">
        <v>3</v>
      </c>
      <c r="G33" s="159">
        <v>2</v>
      </c>
      <c r="H33" s="159">
        <v>1</v>
      </c>
      <c r="I33" s="159">
        <v>14</v>
      </c>
      <c r="J33" s="159">
        <v>5</v>
      </c>
      <c r="K33" s="159">
        <v>9</v>
      </c>
      <c r="L33" s="159">
        <v>14</v>
      </c>
      <c r="M33" s="159">
        <v>8</v>
      </c>
      <c r="N33" s="159">
        <v>6</v>
      </c>
      <c r="O33" s="159"/>
      <c r="P33" s="159">
        <v>18</v>
      </c>
      <c r="Q33" s="159">
        <v>4</v>
      </c>
      <c r="R33" s="159">
        <v>14</v>
      </c>
      <c r="S33" s="159">
        <v>42</v>
      </c>
      <c r="T33" s="159">
        <v>16</v>
      </c>
      <c r="U33" s="159">
        <v>26</v>
      </c>
      <c r="V33" s="159">
        <v>9</v>
      </c>
      <c r="W33" s="159">
        <v>7</v>
      </c>
      <c r="X33" s="159">
        <v>2</v>
      </c>
      <c r="Y33" s="159">
        <v>52</v>
      </c>
      <c r="Z33" s="159">
        <v>41</v>
      </c>
      <c r="AA33" s="159">
        <v>12</v>
      </c>
      <c r="AB33" s="160" t="s">
        <v>238</v>
      </c>
    </row>
    <row r="35" spans="2:28">
      <c r="B35" s="161" t="s">
        <v>240</v>
      </c>
    </row>
    <row r="36" spans="2:28">
      <c r="B36" s="163" t="s">
        <v>241</v>
      </c>
    </row>
    <row r="37" spans="2:28">
      <c r="B37" s="162" t="s">
        <v>239</v>
      </c>
    </row>
  </sheetData>
  <mergeCells count="26">
    <mergeCell ref="C7:C8"/>
    <mergeCell ref="D7:D8"/>
    <mergeCell ref="E7:E8"/>
    <mergeCell ref="F5:H6"/>
    <mergeCell ref="I5:K6"/>
    <mergeCell ref="L5:N6"/>
    <mergeCell ref="P5:R6"/>
    <mergeCell ref="S5:U6"/>
    <mergeCell ref="V5:X6"/>
    <mergeCell ref="L4:N4"/>
    <mergeCell ref="P4:R4"/>
    <mergeCell ref="S4:U4"/>
    <mergeCell ref="V4:X4"/>
    <mergeCell ref="Y4:AA4"/>
    <mergeCell ref="AB4:AB8"/>
    <mergeCell ref="Y5:AA6"/>
    <mergeCell ref="B2:B3"/>
    <mergeCell ref="D2:I3"/>
    <mergeCell ref="T2:AA3"/>
    <mergeCell ref="AB2:AB3"/>
    <mergeCell ref="B4:B8"/>
    <mergeCell ref="C4:C6"/>
    <mergeCell ref="D4:D6"/>
    <mergeCell ref="E4:E6"/>
    <mergeCell ref="F4:H4"/>
    <mergeCell ref="I4:K4"/>
  </mergeCells>
  <phoneticPr fontId="3" type="noConversion"/>
  <hyperlinks>
    <hyperlink ref="B37" r:id="rId1" xr:uid="{5BC327B2-10B7-9C40-8955-ABECF93CF2E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FD17-3988-1744-89EB-5F6B0FF013D5}">
  <dimension ref="A1:U47"/>
  <sheetViews>
    <sheetView topLeftCell="A7" workbookViewId="0">
      <selection activeCell="G44" sqref="G44"/>
    </sheetView>
  </sheetViews>
  <sheetFormatPr baseColWidth="10" defaultRowHeight="15"/>
  <cols>
    <col min="1" max="1" width="13.5" customWidth="1"/>
  </cols>
  <sheetData>
    <row r="1" spans="1:21" ht="22">
      <c r="A1" s="87" t="s">
        <v>133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1:21" ht="20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88"/>
      <c r="N2" s="88"/>
      <c r="O2" s="88"/>
      <c r="P2" s="88"/>
      <c r="Q2" s="88"/>
      <c r="R2" s="88"/>
      <c r="S2" s="88"/>
      <c r="T2" s="88"/>
      <c r="U2" s="88"/>
    </row>
    <row r="3" spans="1:21">
      <c r="A3" s="89"/>
      <c r="B3" s="90" t="s">
        <v>134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1"/>
      <c r="T3" s="91"/>
      <c r="U3" s="92" t="s">
        <v>100</v>
      </c>
    </row>
    <row r="4" spans="1:21">
      <c r="A4" s="93" t="s">
        <v>135</v>
      </c>
      <c r="B4" s="94" t="s">
        <v>113</v>
      </c>
      <c r="C4" s="94" t="s">
        <v>136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</row>
    <row r="5" spans="1:21" ht="32">
      <c r="A5" s="93"/>
      <c r="B5" s="94"/>
      <c r="C5" s="95" t="s">
        <v>125</v>
      </c>
      <c r="D5" s="95" t="s">
        <v>137</v>
      </c>
      <c r="E5" s="95" t="s">
        <v>138</v>
      </c>
      <c r="F5" s="95" t="s">
        <v>139</v>
      </c>
      <c r="G5" s="95" t="s">
        <v>140</v>
      </c>
      <c r="H5" s="95" t="s">
        <v>141</v>
      </c>
      <c r="I5" s="95" t="s">
        <v>142</v>
      </c>
      <c r="J5" s="95" t="s">
        <v>143</v>
      </c>
      <c r="K5" s="95" t="s">
        <v>144</v>
      </c>
      <c r="L5" s="95" t="s">
        <v>145</v>
      </c>
      <c r="M5" s="95" t="s">
        <v>146</v>
      </c>
      <c r="N5" s="95" t="s">
        <v>147</v>
      </c>
      <c r="O5" s="95" t="s">
        <v>148</v>
      </c>
      <c r="P5" s="95" t="s">
        <v>149</v>
      </c>
      <c r="Q5" s="95" t="s">
        <v>150</v>
      </c>
      <c r="R5" s="95" t="s">
        <v>151</v>
      </c>
      <c r="S5" s="95" t="s">
        <v>152</v>
      </c>
      <c r="T5" s="95" t="s">
        <v>153</v>
      </c>
      <c r="U5" s="96" t="s">
        <v>154</v>
      </c>
    </row>
    <row r="6" spans="1:21">
      <c r="A6" s="97"/>
      <c r="B6" s="98" t="s">
        <v>90</v>
      </c>
      <c r="C6" s="99">
        <v>20657834</v>
      </c>
      <c r="D6" s="99">
        <v>1014757</v>
      </c>
      <c r="E6" s="99">
        <v>1250320</v>
      </c>
      <c r="F6" s="99">
        <v>1509963</v>
      </c>
      <c r="G6" s="99">
        <v>1606517</v>
      </c>
      <c r="H6" s="99">
        <v>1593037</v>
      </c>
      <c r="I6" s="99">
        <v>1956963</v>
      </c>
      <c r="J6" s="99">
        <v>1954903</v>
      </c>
      <c r="K6" s="100">
        <v>1746713</v>
      </c>
      <c r="L6" s="101">
        <v>1770457</v>
      </c>
      <c r="M6" s="99">
        <v>1765497</v>
      </c>
      <c r="N6" s="99">
        <v>1578864</v>
      </c>
      <c r="O6" s="99">
        <v>1277079</v>
      </c>
      <c r="P6" s="99">
        <v>704288</v>
      </c>
      <c r="Q6" s="99">
        <v>484997</v>
      </c>
      <c r="R6" s="99">
        <v>283742</v>
      </c>
      <c r="S6" s="99">
        <v>120767</v>
      </c>
      <c r="T6" s="99">
        <v>33805</v>
      </c>
      <c r="U6" s="102">
        <v>5165</v>
      </c>
    </row>
    <row r="7" spans="1:21">
      <c r="A7" s="97" t="s">
        <v>155</v>
      </c>
      <c r="B7" s="98" t="s">
        <v>4</v>
      </c>
      <c r="C7" s="99">
        <v>10106241</v>
      </c>
      <c r="D7" s="99">
        <v>528930</v>
      </c>
      <c r="E7" s="99">
        <v>651847</v>
      </c>
      <c r="F7" s="99">
        <v>781870</v>
      </c>
      <c r="G7" s="99">
        <v>831003</v>
      </c>
      <c r="H7" s="99">
        <v>807507</v>
      </c>
      <c r="I7" s="99">
        <v>965271</v>
      </c>
      <c r="J7" s="99">
        <v>956248</v>
      </c>
      <c r="K7" s="100">
        <v>848743</v>
      </c>
      <c r="L7" s="101">
        <v>861080</v>
      </c>
      <c r="M7" s="99">
        <v>849692</v>
      </c>
      <c r="N7" s="99">
        <v>746500</v>
      </c>
      <c r="O7" s="99">
        <v>589929</v>
      </c>
      <c r="P7" s="99">
        <v>314904</v>
      </c>
      <c r="Q7" s="99">
        <v>203244</v>
      </c>
      <c r="R7" s="99">
        <v>107645</v>
      </c>
      <c r="S7" s="99">
        <v>45718</v>
      </c>
      <c r="T7" s="99">
        <v>13903</v>
      </c>
      <c r="U7" s="100">
        <v>2207</v>
      </c>
    </row>
    <row r="8" spans="1:21" ht="16">
      <c r="A8" s="103"/>
      <c r="B8" s="98" t="s">
        <v>5</v>
      </c>
      <c r="C8" s="99">
        <v>10551593</v>
      </c>
      <c r="D8" s="99">
        <v>485827</v>
      </c>
      <c r="E8" s="99">
        <v>598473</v>
      </c>
      <c r="F8" s="99">
        <v>728093</v>
      </c>
      <c r="G8" s="99">
        <v>775514</v>
      </c>
      <c r="H8" s="99">
        <v>785530</v>
      </c>
      <c r="I8" s="99">
        <v>991692</v>
      </c>
      <c r="J8" s="99">
        <v>998655</v>
      </c>
      <c r="K8" s="100">
        <v>897970</v>
      </c>
      <c r="L8" s="101">
        <v>909377</v>
      </c>
      <c r="M8" s="99">
        <v>915805</v>
      </c>
      <c r="N8" s="99">
        <v>832364</v>
      </c>
      <c r="O8" s="99">
        <v>687150</v>
      </c>
      <c r="P8" s="99">
        <v>389384</v>
      </c>
      <c r="Q8" s="99">
        <v>281753</v>
      </c>
      <c r="R8" s="99">
        <v>176097</v>
      </c>
      <c r="S8" s="99">
        <v>75049</v>
      </c>
      <c r="T8" s="99">
        <v>19902</v>
      </c>
      <c r="U8" s="100">
        <v>2958</v>
      </c>
    </row>
    <row r="9" spans="1:21" ht="16">
      <c r="A9" s="104"/>
      <c r="B9" s="98" t="s">
        <v>90</v>
      </c>
      <c r="C9" s="99">
        <v>7022345</v>
      </c>
      <c r="D9" s="99">
        <v>1012632</v>
      </c>
      <c r="E9" s="99">
        <v>1205976</v>
      </c>
      <c r="F9" s="99">
        <v>1264699</v>
      </c>
      <c r="G9" s="99">
        <v>975642</v>
      </c>
      <c r="H9" s="99">
        <v>660147</v>
      </c>
      <c r="I9" s="99">
        <v>575237</v>
      </c>
      <c r="J9" s="99">
        <v>443275</v>
      </c>
      <c r="K9" s="100">
        <v>301653</v>
      </c>
      <c r="L9" s="105">
        <v>225857</v>
      </c>
      <c r="M9" s="99">
        <v>157887</v>
      </c>
      <c r="N9" s="99">
        <v>98066</v>
      </c>
      <c r="O9" s="99">
        <v>58344</v>
      </c>
      <c r="P9" s="99">
        <v>23573</v>
      </c>
      <c r="Q9" s="99">
        <v>10508</v>
      </c>
      <c r="R9" s="99">
        <v>5106</v>
      </c>
      <c r="S9" s="99">
        <v>2243</v>
      </c>
      <c r="T9" s="99">
        <v>1116</v>
      </c>
      <c r="U9" s="100">
        <v>384</v>
      </c>
    </row>
    <row r="10" spans="1:21">
      <c r="A10" s="97" t="s">
        <v>156</v>
      </c>
      <c r="B10" s="98" t="s">
        <v>4</v>
      </c>
      <c r="C10" s="99">
        <v>3800168</v>
      </c>
      <c r="D10" s="99">
        <v>528406</v>
      </c>
      <c r="E10" s="99">
        <v>636153</v>
      </c>
      <c r="F10" s="99">
        <v>683329</v>
      </c>
      <c r="G10" s="99">
        <v>554334</v>
      </c>
      <c r="H10" s="99">
        <v>385724</v>
      </c>
      <c r="I10" s="99">
        <v>334440</v>
      </c>
      <c r="J10" s="99">
        <v>243872</v>
      </c>
      <c r="K10" s="100">
        <v>155800</v>
      </c>
      <c r="L10" s="105">
        <v>113933</v>
      </c>
      <c r="M10" s="99">
        <v>78791</v>
      </c>
      <c r="N10" s="99">
        <v>46180</v>
      </c>
      <c r="O10" s="99">
        <v>23067</v>
      </c>
      <c r="P10" s="99">
        <v>8559</v>
      </c>
      <c r="Q10" s="99">
        <v>3883</v>
      </c>
      <c r="R10" s="99">
        <v>1790</v>
      </c>
      <c r="S10" s="99">
        <v>948</v>
      </c>
      <c r="T10" s="99">
        <v>675</v>
      </c>
      <c r="U10" s="100">
        <v>284</v>
      </c>
    </row>
    <row r="11" spans="1:21" ht="16">
      <c r="A11" s="103"/>
      <c r="B11" s="98" t="s">
        <v>5</v>
      </c>
      <c r="C11" s="99">
        <v>3222177</v>
      </c>
      <c r="D11" s="99">
        <v>484226</v>
      </c>
      <c r="E11" s="99">
        <v>569823</v>
      </c>
      <c r="F11" s="99">
        <v>581370</v>
      </c>
      <c r="G11" s="99">
        <v>421308</v>
      </c>
      <c r="H11" s="99">
        <v>274423</v>
      </c>
      <c r="I11" s="99">
        <v>240797</v>
      </c>
      <c r="J11" s="99">
        <v>199403</v>
      </c>
      <c r="K11" s="100">
        <v>145853</v>
      </c>
      <c r="L11" s="105">
        <v>111924</v>
      </c>
      <c r="M11" s="99">
        <v>79096</v>
      </c>
      <c r="N11" s="99">
        <v>51886</v>
      </c>
      <c r="O11" s="99">
        <v>35277</v>
      </c>
      <c r="P11" s="99">
        <v>15014</v>
      </c>
      <c r="Q11" s="99">
        <v>6625</v>
      </c>
      <c r="R11" s="99">
        <v>3316</v>
      </c>
      <c r="S11" s="99">
        <v>1295</v>
      </c>
      <c r="T11" s="99">
        <v>441</v>
      </c>
      <c r="U11" s="100">
        <v>100</v>
      </c>
    </row>
    <row r="12" spans="1:21" ht="16">
      <c r="A12" s="103"/>
      <c r="B12" s="98" t="s">
        <v>90</v>
      </c>
      <c r="C12" s="99">
        <v>10189958</v>
      </c>
      <c r="D12" s="99">
        <v>1795</v>
      </c>
      <c r="E12" s="99">
        <v>35606</v>
      </c>
      <c r="F12" s="99">
        <v>209095</v>
      </c>
      <c r="G12" s="99">
        <v>556394</v>
      </c>
      <c r="H12" s="99">
        <v>813720</v>
      </c>
      <c r="I12" s="99">
        <v>1154865</v>
      </c>
      <c r="J12" s="99">
        <v>1211689</v>
      </c>
      <c r="K12" s="100">
        <v>1117372</v>
      </c>
      <c r="L12" s="105">
        <v>1175038</v>
      </c>
      <c r="M12" s="99">
        <v>1208338</v>
      </c>
      <c r="N12" s="99">
        <v>1082796</v>
      </c>
      <c r="O12" s="99">
        <v>836439</v>
      </c>
      <c r="P12" s="99">
        <v>415446</v>
      </c>
      <c r="Q12" s="99">
        <v>235907</v>
      </c>
      <c r="R12" s="99">
        <v>98897</v>
      </c>
      <c r="S12" s="99">
        <v>28921</v>
      </c>
      <c r="T12" s="99">
        <v>6744</v>
      </c>
      <c r="U12" s="100">
        <v>896</v>
      </c>
    </row>
    <row r="13" spans="1:21">
      <c r="A13" s="97" t="s">
        <v>157</v>
      </c>
      <c r="B13" s="98" t="s">
        <v>4</v>
      </c>
      <c r="C13" s="99">
        <v>5114764</v>
      </c>
      <c r="D13" s="99">
        <v>455</v>
      </c>
      <c r="E13" s="99">
        <v>12631</v>
      </c>
      <c r="F13" s="99">
        <v>83782</v>
      </c>
      <c r="G13" s="99">
        <v>243699</v>
      </c>
      <c r="H13" s="99">
        <v>370254</v>
      </c>
      <c r="I13" s="99">
        <v>535334</v>
      </c>
      <c r="J13" s="99">
        <v>581203</v>
      </c>
      <c r="K13" s="100">
        <v>549241</v>
      </c>
      <c r="L13" s="105">
        <v>589663</v>
      </c>
      <c r="M13" s="99">
        <v>619063</v>
      </c>
      <c r="N13" s="99">
        <v>571009</v>
      </c>
      <c r="O13" s="99">
        <v>464219</v>
      </c>
      <c r="P13" s="99">
        <v>247720</v>
      </c>
      <c r="Q13" s="99">
        <v>149849</v>
      </c>
      <c r="R13" s="99">
        <v>67006</v>
      </c>
      <c r="S13" s="99">
        <v>22754</v>
      </c>
      <c r="T13" s="99">
        <v>6092</v>
      </c>
      <c r="U13" s="100">
        <v>790</v>
      </c>
    </row>
    <row r="14" spans="1:21" ht="16">
      <c r="A14" s="103"/>
      <c r="B14" s="98" t="s">
        <v>5</v>
      </c>
      <c r="C14" s="99">
        <v>5075194</v>
      </c>
      <c r="D14" s="99">
        <v>1340</v>
      </c>
      <c r="E14" s="99">
        <v>22975</v>
      </c>
      <c r="F14" s="99">
        <v>125313</v>
      </c>
      <c r="G14" s="99">
        <v>312695</v>
      </c>
      <c r="H14" s="99">
        <v>443466</v>
      </c>
      <c r="I14" s="99">
        <v>619531</v>
      </c>
      <c r="J14" s="99">
        <v>630486</v>
      </c>
      <c r="K14" s="100">
        <v>568131</v>
      </c>
      <c r="L14" s="105">
        <v>585375</v>
      </c>
      <c r="M14" s="99">
        <v>589275</v>
      </c>
      <c r="N14" s="99">
        <v>511787</v>
      </c>
      <c r="O14" s="99">
        <v>372220</v>
      </c>
      <c r="P14" s="99">
        <v>167726</v>
      </c>
      <c r="Q14" s="99">
        <v>86058</v>
      </c>
      <c r="R14" s="99">
        <v>31891</v>
      </c>
      <c r="S14" s="99">
        <v>6167</v>
      </c>
      <c r="T14" s="99">
        <v>652</v>
      </c>
      <c r="U14" s="100">
        <v>106</v>
      </c>
    </row>
    <row r="15" spans="1:21" ht="16">
      <c r="A15" s="103"/>
      <c r="B15" s="98" t="s">
        <v>90</v>
      </c>
      <c r="C15" s="99">
        <v>10166150</v>
      </c>
      <c r="D15" s="99">
        <v>1758</v>
      </c>
      <c r="E15" s="99">
        <v>34922</v>
      </c>
      <c r="F15" s="99">
        <v>206729</v>
      </c>
      <c r="G15" s="99">
        <v>550817</v>
      </c>
      <c r="H15" s="99">
        <v>808029</v>
      </c>
      <c r="I15" s="99">
        <v>1150357</v>
      </c>
      <c r="J15" s="99">
        <v>1209127</v>
      </c>
      <c r="K15" s="100">
        <v>1116008</v>
      </c>
      <c r="L15" s="105">
        <v>1174422</v>
      </c>
      <c r="M15" s="99">
        <v>1208057</v>
      </c>
      <c r="N15" s="99">
        <v>1082724</v>
      </c>
      <c r="O15" s="99">
        <v>836413</v>
      </c>
      <c r="P15" s="99">
        <v>415426</v>
      </c>
      <c r="Q15" s="99">
        <v>235904</v>
      </c>
      <c r="R15" s="99">
        <v>98897</v>
      </c>
      <c r="S15" s="99">
        <v>28920</v>
      </c>
      <c r="T15" s="99">
        <v>6744</v>
      </c>
      <c r="U15" s="100">
        <v>896</v>
      </c>
    </row>
    <row r="16" spans="1:21">
      <c r="A16" s="106" t="s">
        <v>158</v>
      </c>
      <c r="B16" s="98" t="s">
        <v>4</v>
      </c>
      <c r="C16" s="99">
        <v>5107642</v>
      </c>
      <c r="D16" s="99">
        <v>446</v>
      </c>
      <c r="E16" s="99">
        <v>12449</v>
      </c>
      <c r="F16" s="99">
        <v>83160</v>
      </c>
      <c r="G16" s="99">
        <v>242137</v>
      </c>
      <c r="H16" s="99">
        <v>368709</v>
      </c>
      <c r="I16" s="99">
        <v>534107</v>
      </c>
      <c r="J16" s="99">
        <v>580372</v>
      </c>
      <c r="K16" s="100">
        <v>548661</v>
      </c>
      <c r="L16" s="105">
        <v>589324</v>
      </c>
      <c r="M16" s="99">
        <v>618909</v>
      </c>
      <c r="N16" s="99">
        <v>570967</v>
      </c>
      <c r="O16" s="99">
        <v>464201</v>
      </c>
      <c r="P16" s="99">
        <v>247710</v>
      </c>
      <c r="Q16" s="99">
        <v>149848</v>
      </c>
      <c r="R16" s="99">
        <v>67006</v>
      </c>
      <c r="S16" s="99">
        <v>22754</v>
      </c>
      <c r="T16" s="99">
        <v>6092</v>
      </c>
      <c r="U16" s="100">
        <v>790</v>
      </c>
    </row>
    <row r="17" spans="1:21" ht="16">
      <c r="A17" s="103"/>
      <c r="B17" s="98" t="s">
        <v>5</v>
      </c>
      <c r="C17" s="99">
        <v>5058508</v>
      </c>
      <c r="D17" s="99">
        <v>1312</v>
      </c>
      <c r="E17" s="99">
        <v>22473</v>
      </c>
      <c r="F17" s="99">
        <v>123569</v>
      </c>
      <c r="G17" s="99">
        <v>308680</v>
      </c>
      <c r="H17" s="99">
        <v>439320</v>
      </c>
      <c r="I17" s="99">
        <v>616250</v>
      </c>
      <c r="J17" s="99">
        <v>628755</v>
      </c>
      <c r="K17" s="100">
        <v>567347</v>
      </c>
      <c r="L17" s="105">
        <v>585098</v>
      </c>
      <c r="M17" s="99">
        <v>589148</v>
      </c>
      <c r="N17" s="99">
        <v>511757</v>
      </c>
      <c r="O17" s="99">
        <v>372212</v>
      </c>
      <c r="P17" s="99">
        <v>167716</v>
      </c>
      <c r="Q17" s="99">
        <v>86056</v>
      </c>
      <c r="R17" s="99">
        <v>31891</v>
      </c>
      <c r="S17" s="99">
        <v>6166</v>
      </c>
      <c r="T17" s="99">
        <v>652</v>
      </c>
      <c r="U17" s="100">
        <v>106</v>
      </c>
    </row>
    <row r="18" spans="1:21" ht="16">
      <c r="A18" s="103"/>
      <c r="B18" s="98" t="s">
        <v>90</v>
      </c>
      <c r="C18" s="99">
        <v>23808</v>
      </c>
      <c r="D18" s="99">
        <v>37</v>
      </c>
      <c r="E18" s="99">
        <v>684</v>
      </c>
      <c r="F18" s="99">
        <v>2366</v>
      </c>
      <c r="G18" s="99">
        <v>5577</v>
      </c>
      <c r="H18" s="99">
        <v>5691</v>
      </c>
      <c r="I18" s="99">
        <v>4508</v>
      </c>
      <c r="J18" s="99">
        <v>2562</v>
      </c>
      <c r="K18" s="100">
        <v>1364</v>
      </c>
      <c r="L18" s="105">
        <v>616</v>
      </c>
      <c r="M18" s="99">
        <v>281</v>
      </c>
      <c r="N18" s="99">
        <v>72</v>
      </c>
      <c r="O18" s="99">
        <v>26</v>
      </c>
      <c r="P18" s="99">
        <v>20</v>
      </c>
      <c r="Q18" s="99">
        <v>3</v>
      </c>
      <c r="R18" s="99">
        <v>0</v>
      </c>
      <c r="S18" s="99">
        <v>1</v>
      </c>
      <c r="T18" s="99">
        <v>0</v>
      </c>
      <c r="U18" s="100">
        <v>0</v>
      </c>
    </row>
    <row r="19" spans="1:21">
      <c r="A19" s="106" t="s">
        <v>159</v>
      </c>
      <c r="B19" s="98" t="s">
        <v>4</v>
      </c>
      <c r="C19" s="99">
        <v>7122</v>
      </c>
      <c r="D19" s="99">
        <v>9</v>
      </c>
      <c r="E19" s="99">
        <v>182</v>
      </c>
      <c r="F19" s="99">
        <v>622</v>
      </c>
      <c r="G19" s="99">
        <v>1562</v>
      </c>
      <c r="H19" s="99">
        <v>1545</v>
      </c>
      <c r="I19" s="99">
        <v>1227</v>
      </c>
      <c r="J19" s="99">
        <v>831</v>
      </c>
      <c r="K19" s="100">
        <v>580</v>
      </c>
      <c r="L19" s="105">
        <v>339</v>
      </c>
      <c r="M19" s="99">
        <v>154</v>
      </c>
      <c r="N19" s="99">
        <v>42</v>
      </c>
      <c r="O19" s="99">
        <v>18</v>
      </c>
      <c r="P19" s="99">
        <v>10</v>
      </c>
      <c r="Q19" s="99">
        <v>1</v>
      </c>
      <c r="R19" s="99">
        <v>0</v>
      </c>
      <c r="S19" s="99">
        <v>0</v>
      </c>
      <c r="T19" s="99">
        <v>0</v>
      </c>
      <c r="U19" s="100">
        <v>0</v>
      </c>
    </row>
    <row r="20" spans="1:21" ht="16">
      <c r="A20" s="103"/>
      <c r="B20" s="98" t="s">
        <v>5</v>
      </c>
      <c r="C20" s="99">
        <v>16686</v>
      </c>
      <c r="D20" s="99">
        <v>28</v>
      </c>
      <c r="E20" s="99">
        <v>502</v>
      </c>
      <c r="F20" s="99">
        <v>1744</v>
      </c>
      <c r="G20" s="99">
        <v>4015</v>
      </c>
      <c r="H20" s="99">
        <v>4146</v>
      </c>
      <c r="I20" s="99">
        <v>3281</v>
      </c>
      <c r="J20" s="99">
        <v>1731</v>
      </c>
      <c r="K20" s="100">
        <v>784</v>
      </c>
      <c r="L20" s="105">
        <v>277</v>
      </c>
      <c r="M20" s="99">
        <v>127</v>
      </c>
      <c r="N20" s="99">
        <v>30</v>
      </c>
      <c r="O20" s="99">
        <v>8</v>
      </c>
      <c r="P20" s="99">
        <v>10</v>
      </c>
      <c r="Q20" s="99">
        <v>2</v>
      </c>
      <c r="R20" s="99">
        <v>0</v>
      </c>
      <c r="S20" s="99">
        <v>1</v>
      </c>
      <c r="T20" s="99">
        <v>0</v>
      </c>
      <c r="U20" s="100">
        <v>0</v>
      </c>
    </row>
    <row r="21" spans="1:21" ht="16">
      <c r="A21" s="103"/>
      <c r="B21" s="98" t="s">
        <v>90</v>
      </c>
      <c r="C21" s="99">
        <v>1996959</v>
      </c>
      <c r="D21" s="99">
        <v>330</v>
      </c>
      <c r="E21" s="99">
        <v>8680</v>
      </c>
      <c r="F21" s="99">
        <v>35831</v>
      </c>
      <c r="G21" s="99">
        <v>73402</v>
      </c>
      <c r="H21" s="99">
        <v>115355</v>
      </c>
      <c r="I21" s="99">
        <v>213640</v>
      </c>
      <c r="J21" s="99">
        <v>273964</v>
      </c>
      <c r="K21" s="100">
        <v>284636</v>
      </c>
      <c r="L21" s="105">
        <v>294795</v>
      </c>
      <c r="M21" s="99">
        <v>272067</v>
      </c>
      <c r="N21" s="99">
        <v>209755</v>
      </c>
      <c r="O21" s="99">
        <v>132522</v>
      </c>
      <c r="P21" s="99">
        <v>50238</v>
      </c>
      <c r="Q21" s="99">
        <v>20676</v>
      </c>
      <c r="R21" s="99">
        <v>7424</v>
      </c>
      <c r="S21" s="99">
        <v>2646</v>
      </c>
      <c r="T21" s="99">
        <v>823</v>
      </c>
      <c r="U21" s="100">
        <v>175</v>
      </c>
    </row>
    <row r="22" spans="1:21">
      <c r="A22" s="97" t="s">
        <v>160</v>
      </c>
      <c r="B22" s="98" t="s">
        <v>4</v>
      </c>
      <c r="C22" s="99">
        <v>933422</v>
      </c>
      <c r="D22" s="99">
        <v>69</v>
      </c>
      <c r="E22" s="99">
        <v>3054</v>
      </c>
      <c r="F22" s="99">
        <v>14685</v>
      </c>
      <c r="G22" s="99">
        <v>32739</v>
      </c>
      <c r="H22" s="99">
        <v>50895</v>
      </c>
      <c r="I22" s="99">
        <v>93661</v>
      </c>
      <c r="J22" s="99">
        <v>127301</v>
      </c>
      <c r="K22" s="100">
        <v>136883</v>
      </c>
      <c r="L22" s="105">
        <v>145030</v>
      </c>
      <c r="M22" s="99">
        <v>130114</v>
      </c>
      <c r="N22" s="99">
        <v>97775</v>
      </c>
      <c r="O22" s="99">
        <v>61839</v>
      </c>
      <c r="P22" s="99">
        <v>24385</v>
      </c>
      <c r="Q22" s="99">
        <v>9902</v>
      </c>
      <c r="R22" s="99">
        <v>3168</v>
      </c>
      <c r="S22" s="99">
        <v>1277</v>
      </c>
      <c r="T22" s="99">
        <v>524</v>
      </c>
      <c r="U22" s="100">
        <v>121</v>
      </c>
    </row>
    <row r="23" spans="1:21" ht="16">
      <c r="A23" s="103"/>
      <c r="B23" s="98" t="s">
        <v>5</v>
      </c>
      <c r="C23" s="99">
        <v>1063537</v>
      </c>
      <c r="D23" s="99">
        <v>261</v>
      </c>
      <c r="E23" s="99">
        <v>5626</v>
      </c>
      <c r="F23" s="99">
        <v>21146</v>
      </c>
      <c r="G23" s="99">
        <v>40663</v>
      </c>
      <c r="H23" s="99">
        <v>64460</v>
      </c>
      <c r="I23" s="99">
        <v>119979</v>
      </c>
      <c r="J23" s="99">
        <v>146663</v>
      </c>
      <c r="K23" s="100">
        <v>147753</v>
      </c>
      <c r="L23" s="105">
        <v>149765</v>
      </c>
      <c r="M23" s="99">
        <v>141953</v>
      </c>
      <c r="N23" s="99">
        <v>111980</v>
      </c>
      <c r="O23" s="99">
        <v>70683</v>
      </c>
      <c r="P23" s="99">
        <v>25853</v>
      </c>
      <c r="Q23" s="99">
        <v>10774</v>
      </c>
      <c r="R23" s="99">
        <v>4256</v>
      </c>
      <c r="S23" s="99">
        <v>1369</v>
      </c>
      <c r="T23" s="99">
        <v>299</v>
      </c>
      <c r="U23" s="100">
        <v>54</v>
      </c>
    </row>
    <row r="24" spans="1:21" ht="16">
      <c r="A24" s="103"/>
      <c r="B24" s="98" t="s">
        <v>90</v>
      </c>
      <c r="C24" s="99">
        <v>1991730</v>
      </c>
      <c r="D24" s="99">
        <v>310</v>
      </c>
      <c r="E24" s="99">
        <v>8191</v>
      </c>
      <c r="F24" s="99">
        <v>34497</v>
      </c>
      <c r="G24" s="99">
        <v>71919</v>
      </c>
      <c r="H24" s="99">
        <v>114410</v>
      </c>
      <c r="I24" s="99">
        <v>213113</v>
      </c>
      <c r="J24" s="99">
        <v>273693</v>
      </c>
      <c r="K24" s="100">
        <v>284528</v>
      </c>
      <c r="L24" s="105">
        <v>294763</v>
      </c>
      <c r="M24" s="99">
        <v>272055</v>
      </c>
      <c r="N24" s="99">
        <v>209750</v>
      </c>
      <c r="O24" s="99">
        <v>132520</v>
      </c>
      <c r="P24" s="99">
        <v>50238</v>
      </c>
      <c r="Q24" s="99">
        <v>20675</v>
      </c>
      <c r="R24" s="99">
        <v>7424</v>
      </c>
      <c r="S24" s="99">
        <v>2646</v>
      </c>
      <c r="T24" s="99">
        <v>823</v>
      </c>
      <c r="U24" s="100">
        <v>175</v>
      </c>
    </row>
    <row r="25" spans="1:21">
      <c r="A25" s="106" t="s">
        <v>158</v>
      </c>
      <c r="B25" s="98" t="s">
        <v>4</v>
      </c>
      <c r="C25" s="99">
        <v>931952</v>
      </c>
      <c r="D25" s="99">
        <v>59</v>
      </c>
      <c r="E25" s="99">
        <v>2875</v>
      </c>
      <c r="F25" s="99">
        <v>14269</v>
      </c>
      <c r="G25" s="99">
        <v>32345</v>
      </c>
      <c r="H25" s="99">
        <v>50688</v>
      </c>
      <c r="I25" s="99">
        <v>93530</v>
      </c>
      <c r="J25" s="99">
        <v>127228</v>
      </c>
      <c r="K25" s="100">
        <v>136851</v>
      </c>
      <c r="L25" s="105">
        <v>145013</v>
      </c>
      <c r="M25" s="99">
        <v>130107</v>
      </c>
      <c r="N25" s="99">
        <v>97773</v>
      </c>
      <c r="O25" s="99">
        <v>61838</v>
      </c>
      <c r="P25" s="99">
        <v>24385</v>
      </c>
      <c r="Q25" s="99">
        <v>9901</v>
      </c>
      <c r="R25" s="99">
        <v>3168</v>
      </c>
      <c r="S25" s="99">
        <v>1277</v>
      </c>
      <c r="T25" s="99">
        <v>524</v>
      </c>
      <c r="U25" s="100">
        <v>121</v>
      </c>
    </row>
    <row r="26" spans="1:21" ht="16">
      <c r="A26" s="103"/>
      <c r="B26" s="98" t="s">
        <v>5</v>
      </c>
      <c r="C26" s="99">
        <v>1059778</v>
      </c>
      <c r="D26" s="99">
        <v>251</v>
      </c>
      <c r="E26" s="99">
        <v>5316</v>
      </c>
      <c r="F26" s="99">
        <v>20228</v>
      </c>
      <c r="G26" s="99">
        <v>39574</v>
      </c>
      <c r="H26" s="99">
        <v>63722</v>
      </c>
      <c r="I26" s="99">
        <v>119583</v>
      </c>
      <c r="J26" s="99">
        <v>146465</v>
      </c>
      <c r="K26" s="100">
        <v>147677</v>
      </c>
      <c r="L26" s="105">
        <v>149750</v>
      </c>
      <c r="M26" s="99">
        <v>141948</v>
      </c>
      <c r="N26" s="99">
        <v>111977</v>
      </c>
      <c r="O26" s="99">
        <v>70682</v>
      </c>
      <c r="P26" s="99">
        <v>25853</v>
      </c>
      <c r="Q26" s="99">
        <v>10774</v>
      </c>
      <c r="R26" s="99">
        <v>4256</v>
      </c>
      <c r="S26" s="99">
        <v>1369</v>
      </c>
      <c r="T26" s="99">
        <v>299</v>
      </c>
      <c r="U26" s="100">
        <v>54</v>
      </c>
    </row>
    <row r="27" spans="1:21" ht="16">
      <c r="A27" s="103"/>
      <c r="B27" s="98" t="s">
        <v>90</v>
      </c>
      <c r="C27" s="99">
        <v>5229</v>
      </c>
      <c r="D27" s="99">
        <v>20</v>
      </c>
      <c r="E27" s="99">
        <v>489</v>
      </c>
      <c r="F27" s="99">
        <v>1334</v>
      </c>
      <c r="G27" s="99">
        <v>1483</v>
      </c>
      <c r="H27" s="99">
        <v>945</v>
      </c>
      <c r="I27" s="99">
        <v>527</v>
      </c>
      <c r="J27" s="99">
        <v>271</v>
      </c>
      <c r="K27" s="100">
        <v>108</v>
      </c>
      <c r="L27" s="105">
        <v>32</v>
      </c>
      <c r="M27" s="99">
        <v>12</v>
      </c>
      <c r="N27" s="99">
        <v>5</v>
      </c>
      <c r="O27" s="99">
        <v>2</v>
      </c>
      <c r="P27" s="99">
        <v>0</v>
      </c>
      <c r="Q27" s="99">
        <v>1</v>
      </c>
      <c r="R27" s="99">
        <v>0</v>
      </c>
      <c r="S27" s="99">
        <v>0</v>
      </c>
      <c r="T27" s="99">
        <v>0</v>
      </c>
      <c r="U27" s="100">
        <v>0</v>
      </c>
    </row>
    <row r="28" spans="1:21">
      <c r="A28" s="106" t="s">
        <v>159</v>
      </c>
      <c r="B28" s="98" t="s">
        <v>4</v>
      </c>
      <c r="C28" s="99">
        <v>1470</v>
      </c>
      <c r="D28" s="99">
        <v>10</v>
      </c>
      <c r="E28" s="99">
        <v>179</v>
      </c>
      <c r="F28" s="99">
        <v>416</v>
      </c>
      <c r="G28" s="99">
        <v>394</v>
      </c>
      <c r="H28" s="99">
        <v>207</v>
      </c>
      <c r="I28" s="99">
        <v>131</v>
      </c>
      <c r="J28" s="99">
        <v>73</v>
      </c>
      <c r="K28" s="100">
        <v>32</v>
      </c>
      <c r="L28" s="105">
        <v>17</v>
      </c>
      <c r="M28" s="99">
        <v>7</v>
      </c>
      <c r="N28" s="99">
        <v>2</v>
      </c>
      <c r="O28" s="99">
        <v>1</v>
      </c>
      <c r="P28" s="99">
        <v>0</v>
      </c>
      <c r="Q28" s="99">
        <v>1</v>
      </c>
      <c r="R28" s="99">
        <v>0</v>
      </c>
      <c r="S28" s="99">
        <v>0</v>
      </c>
      <c r="T28" s="99">
        <v>0</v>
      </c>
      <c r="U28" s="100">
        <v>0</v>
      </c>
    </row>
    <row r="29" spans="1:21" ht="16">
      <c r="A29" s="103"/>
      <c r="B29" s="98" t="s">
        <v>5</v>
      </c>
      <c r="C29" s="99">
        <v>3759</v>
      </c>
      <c r="D29" s="99">
        <v>10</v>
      </c>
      <c r="E29" s="99">
        <v>310</v>
      </c>
      <c r="F29" s="99">
        <v>918</v>
      </c>
      <c r="G29" s="99">
        <v>1089</v>
      </c>
      <c r="H29" s="99">
        <v>738</v>
      </c>
      <c r="I29" s="99">
        <v>396</v>
      </c>
      <c r="J29" s="99">
        <v>198</v>
      </c>
      <c r="K29" s="100">
        <v>76</v>
      </c>
      <c r="L29" s="105">
        <v>15</v>
      </c>
      <c r="M29" s="99">
        <v>5</v>
      </c>
      <c r="N29" s="99">
        <v>3</v>
      </c>
      <c r="O29" s="99">
        <v>1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100">
        <v>0</v>
      </c>
    </row>
    <row r="30" spans="1:21" ht="16">
      <c r="A30" s="103"/>
      <c r="B30" s="98" t="s">
        <v>90</v>
      </c>
      <c r="C30" s="99">
        <v>1448572</v>
      </c>
      <c r="D30" s="99">
        <v>0</v>
      </c>
      <c r="E30" s="99">
        <v>58</v>
      </c>
      <c r="F30" s="99">
        <v>338</v>
      </c>
      <c r="G30" s="99">
        <v>1079</v>
      </c>
      <c r="H30" s="99">
        <v>3815</v>
      </c>
      <c r="I30" s="99">
        <v>13221</v>
      </c>
      <c r="J30" s="99">
        <v>25975</v>
      </c>
      <c r="K30" s="100">
        <v>43052</v>
      </c>
      <c r="L30" s="105">
        <v>74767</v>
      </c>
      <c r="M30" s="99">
        <v>127205</v>
      </c>
      <c r="N30" s="99">
        <v>188247</v>
      </c>
      <c r="O30" s="99">
        <v>249774</v>
      </c>
      <c r="P30" s="99">
        <v>215031</v>
      </c>
      <c r="Q30" s="99">
        <v>217906</v>
      </c>
      <c r="R30" s="99">
        <v>172315</v>
      </c>
      <c r="S30" s="99">
        <v>86957</v>
      </c>
      <c r="T30" s="99">
        <v>25122</v>
      </c>
      <c r="U30" s="100">
        <v>3710</v>
      </c>
    </row>
    <row r="31" spans="1:21">
      <c r="A31" s="97" t="s">
        <v>161</v>
      </c>
      <c r="B31" s="98" t="s">
        <v>4</v>
      </c>
      <c r="C31" s="99">
        <v>257887</v>
      </c>
      <c r="D31" s="99">
        <v>0</v>
      </c>
      <c r="E31" s="99">
        <v>9</v>
      </c>
      <c r="F31" s="99">
        <v>74</v>
      </c>
      <c r="G31" s="99">
        <v>231</v>
      </c>
      <c r="H31" s="99">
        <v>634</v>
      </c>
      <c r="I31" s="99">
        <v>1836</v>
      </c>
      <c r="J31" s="99">
        <v>3872</v>
      </c>
      <c r="K31" s="100">
        <v>6819</v>
      </c>
      <c r="L31" s="105">
        <v>12454</v>
      </c>
      <c r="M31" s="99">
        <v>21724</v>
      </c>
      <c r="N31" s="99">
        <v>31536</v>
      </c>
      <c r="O31" s="99">
        <v>40804</v>
      </c>
      <c r="P31" s="99">
        <v>34240</v>
      </c>
      <c r="Q31" s="99">
        <v>39610</v>
      </c>
      <c r="R31" s="99">
        <v>35681</v>
      </c>
      <c r="S31" s="99">
        <v>20739</v>
      </c>
      <c r="T31" s="99">
        <v>6612</v>
      </c>
      <c r="U31" s="100">
        <v>1012</v>
      </c>
    </row>
    <row r="32" spans="1:21" ht="16">
      <c r="A32" s="103"/>
      <c r="B32" s="98" t="s">
        <v>5</v>
      </c>
      <c r="C32" s="99">
        <v>1190685</v>
      </c>
      <c r="D32" s="99">
        <v>0</v>
      </c>
      <c r="E32" s="99">
        <v>49</v>
      </c>
      <c r="F32" s="99">
        <v>264</v>
      </c>
      <c r="G32" s="99">
        <v>848</v>
      </c>
      <c r="H32" s="99">
        <v>3181</v>
      </c>
      <c r="I32" s="99">
        <v>11385</v>
      </c>
      <c r="J32" s="99">
        <v>22103</v>
      </c>
      <c r="K32" s="100">
        <v>36233</v>
      </c>
      <c r="L32" s="105">
        <v>62313</v>
      </c>
      <c r="M32" s="99">
        <v>105481</v>
      </c>
      <c r="N32" s="99">
        <v>156711</v>
      </c>
      <c r="O32" s="99">
        <v>208970</v>
      </c>
      <c r="P32" s="99">
        <v>180791</v>
      </c>
      <c r="Q32" s="99">
        <v>178296</v>
      </c>
      <c r="R32" s="99">
        <v>136634</v>
      </c>
      <c r="S32" s="99">
        <v>66218</v>
      </c>
      <c r="T32" s="99">
        <v>18510</v>
      </c>
      <c r="U32" s="100">
        <v>2698</v>
      </c>
    </row>
    <row r="33" spans="1:21" ht="16">
      <c r="A33" s="103"/>
      <c r="B33" s="98" t="s">
        <v>90</v>
      </c>
      <c r="C33" s="99">
        <v>1448445</v>
      </c>
      <c r="D33" s="99">
        <v>0</v>
      </c>
      <c r="E33" s="99">
        <v>56</v>
      </c>
      <c r="F33" s="99">
        <v>334</v>
      </c>
      <c r="G33" s="99">
        <v>1055</v>
      </c>
      <c r="H33" s="99">
        <v>3790</v>
      </c>
      <c r="I33" s="99">
        <v>13205</v>
      </c>
      <c r="J33" s="99">
        <v>25956</v>
      </c>
      <c r="K33" s="100">
        <v>43033</v>
      </c>
      <c r="L33" s="105">
        <v>74756</v>
      </c>
      <c r="M33" s="99">
        <v>127201</v>
      </c>
      <c r="N33" s="99">
        <v>188245</v>
      </c>
      <c r="O33" s="99">
        <v>249773</v>
      </c>
      <c r="P33" s="99">
        <v>215031</v>
      </c>
      <c r="Q33" s="99">
        <v>217906</v>
      </c>
      <c r="R33" s="99">
        <v>172315</v>
      </c>
      <c r="S33" s="99">
        <v>86957</v>
      </c>
      <c r="T33" s="99">
        <v>25122</v>
      </c>
      <c r="U33" s="100">
        <v>3710</v>
      </c>
    </row>
    <row r="34" spans="1:21">
      <c r="A34" s="106" t="s">
        <v>158</v>
      </c>
      <c r="B34" s="98" t="s">
        <v>4</v>
      </c>
      <c r="C34" s="99">
        <v>257839</v>
      </c>
      <c r="D34" s="99">
        <v>0</v>
      </c>
      <c r="E34" s="99">
        <v>9</v>
      </c>
      <c r="F34" s="99">
        <v>71</v>
      </c>
      <c r="G34" s="99">
        <v>220</v>
      </c>
      <c r="H34" s="99">
        <v>626</v>
      </c>
      <c r="I34" s="99">
        <v>1828</v>
      </c>
      <c r="J34" s="99">
        <v>3869</v>
      </c>
      <c r="K34" s="100">
        <v>6811</v>
      </c>
      <c r="L34" s="105">
        <v>12449</v>
      </c>
      <c r="M34" s="99">
        <v>21722</v>
      </c>
      <c r="N34" s="99">
        <v>31536</v>
      </c>
      <c r="O34" s="99">
        <v>40804</v>
      </c>
      <c r="P34" s="99">
        <v>34240</v>
      </c>
      <c r="Q34" s="99">
        <v>39610</v>
      </c>
      <c r="R34" s="99">
        <v>35681</v>
      </c>
      <c r="S34" s="99">
        <v>20739</v>
      </c>
      <c r="T34" s="99">
        <v>6612</v>
      </c>
      <c r="U34" s="100">
        <v>1012</v>
      </c>
    </row>
    <row r="35" spans="1:21" ht="16">
      <c r="A35" s="103"/>
      <c r="B35" s="98" t="s">
        <v>5</v>
      </c>
      <c r="C35" s="99">
        <v>1190606</v>
      </c>
      <c r="D35" s="99">
        <v>0</v>
      </c>
      <c r="E35" s="99">
        <v>47</v>
      </c>
      <c r="F35" s="99">
        <v>263</v>
      </c>
      <c r="G35" s="99">
        <v>835</v>
      </c>
      <c r="H35" s="99">
        <v>3164</v>
      </c>
      <c r="I35" s="99">
        <v>11377</v>
      </c>
      <c r="J35" s="99">
        <v>22087</v>
      </c>
      <c r="K35" s="100">
        <v>36222</v>
      </c>
      <c r="L35" s="105">
        <v>62307</v>
      </c>
      <c r="M35" s="99">
        <v>105479</v>
      </c>
      <c r="N35" s="99">
        <v>156709</v>
      </c>
      <c r="O35" s="99">
        <v>208969</v>
      </c>
      <c r="P35" s="99">
        <v>180791</v>
      </c>
      <c r="Q35" s="99">
        <v>178296</v>
      </c>
      <c r="R35" s="99">
        <v>136634</v>
      </c>
      <c r="S35" s="99">
        <v>66218</v>
      </c>
      <c r="T35" s="99">
        <v>18510</v>
      </c>
      <c r="U35" s="100">
        <v>2698</v>
      </c>
    </row>
    <row r="36" spans="1:21" ht="16">
      <c r="A36" s="103"/>
      <c r="B36" s="98" t="s">
        <v>90</v>
      </c>
      <c r="C36" s="99">
        <v>127</v>
      </c>
      <c r="D36" s="99">
        <v>0</v>
      </c>
      <c r="E36" s="99">
        <v>2</v>
      </c>
      <c r="F36" s="99">
        <v>4</v>
      </c>
      <c r="G36" s="99">
        <v>24</v>
      </c>
      <c r="H36" s="99">
        <v>25</v>
      </c>
      <c r="I36" s="99">
        <v>16</v>
      </c>
      <c r="J36" s="99">
        <v>19</v>
      </c>
      <c r="K36" s="100">
        <v>19</v>
      </c>
      <c r="L36" s="105">
        <v>11</v>
      </c>
      <c r="M36" s="99">
        <v>4</v>
      </c>
      <c r="N36" s="99">
        <v>2</v>
      </c>
      <c r="O36" s="99">
        <v>1</v>
      </c>
      <c r="P36" s="99">
        <v>0</v>
      </c>
      <c r="Q36" s="99">
        <v>0</v>
      </c>
      <c r="R36" s="99">
        <v>0</v>
      </c>
      <c r="S36" s="99">
        <v>0</v>
      </c>
      <c r="T36" s="99">
        <v>0</v>
      </c>
      <c r="U36" s="100">
        <v>0</v>
      </c>
    </row>
    <row r="37" spans="1:21">
      <c r="A37" s="106" t="s">
        <v>159</v>
      </c>
      <c r="B37" s="98" t="s">
        <v>4</v>
      </c>
      <c r="C37" s="99">
        <v>48</v>
      </c>
      <c r="D37" s="99">
        <v>0</v>
      </c>
      <c r="E37" s="99">
        <v>0</v>
      </c>
      <c r="F37" s="99">
        <v>3</v>
      </c>
      <c r="G37" s="99">
        <v>11</v>
      </c>
      <c r="H37" s="99">
        <v>8</v>
      </c>
      <c r="I37" s="99">
        <v>8</v>
      </c>
      <c r="J37" s="99">
        <v>3</v>
      </c>
      <c r="K37" s="100">
        <v>8</v>
      </c>
      <c r="L37" s="105">
        <v>5</v>
      </c>
      <c r="M37" s="99">
        <v>2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100">
        <v>0</v>
      </c>
    </row>
    <row r="38" spans="1:21" ht="16">
      <c r="A38" s="103"/>
      <c r="B38" s="98" t="s">
        <v>5</v>
      </c>
      <c r="C38" s="99">
        <v>79</v>
      </c>
      <c r="D38" s="99">
        <v>0</v>
      </c>
      <c r="E38" s="99">
        <v>2</v>
      </c>
      <c r="F38" s="99">
        <v>1</v>
      </c>
      <c r="G38" s="99">
        <v>13</v>
      </c>
      <c r="H38" s="99">
        <v>17</v>
      </c>
      <c r="I38" s="99">
        <v>8</v>
      </c>
      <c r="J38" s="99">
        <v>16</v>
      </c>
      <c r="K38" s="100">
        <v>11</v>
      </c>
      <c r="L38" s="105">
        <v>6</v>
      </c>
      <c r="M38" s="99">
        <v>2</v>
      </c>
      <c r="N38" s="99">
        <v>2</v>
      </c>
      <c r="O38" s="99">
        <v>1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100">
        <v>0</v>
      </c>
    </row>
    <row r="39" spans="1:21" ht="16">
      <c r="A39" s="107"/>
      <c r="B39" s="108"/>
      <c r="C39" s="109"/>
      <c r="D39" s="109"/>
      <c r="E39" s="109"/>
      <c r="F39" s="109"/>
      <c r="G39" s="109"/>
      <c r="H39" s="109"/>
      <c r="I39" s="109"/>
      <c r="J39" s="109"/>
      <c r="K39" s="110"/>
      <c r="L39" s="111"/>
      <c r="M39" s="109"/>
      <c r="N39" s="109"/>
      <c r="O39" s="109"/>
      <c r="P39" s="109"/>
      <c r="Q39" s="109"/>
      <c r="R39" s="109"/>
      <c r="S39" s="109"/>
      <c r="T39" s="109"/>
      <c r="U39" s="110"/>
    </row>
    <row r="40" spans="1:21">
      <c r="A40" s="112" t="s">
        <v>162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</row>
    <row r="41" spans="1:2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</row>
    <row r="42" spans="1:2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</row>
    <row r="43" spans="1:21">
      <c r="A43" s="113" t="s">
        <v>163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</row>
    <row r="45" spans="1:21">
      <c r="A45" t="s">
        <v>333</v>
      </c>
    </row>
    <row r="46" spans="1:21">
      <c r="A46" t="s">
        <v>327</v>
      </c>
    </row>
    <row r="47" spans="1:21">
      <c r="A47" s="194" t="s">
        <v>326</v>
      </c>
    </row>
  </sheetData>
  <mergeCells count="6">
    <mergeCell ref="A1:U1"/>
    <mergeCell ref="A2:L2"/>
    <mergeCell ref="B3:R3"/>
    <mergeCell ref="A4:A5"/>
    <mergeCell ref="B4:B5"/>
    <mergeCell ref="C4:U4"/>
  </mergeCells>
  <phoneticPr fontId="3" type="noConversion"/>
  <hyperlinks>
    <hyperlink ref="A47" r:id="rId1" xr:uid="{04980540-2A91-5B41-9250-52385738B34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640A-71AB-D64A-8615-4DC2F9523C9D}">
  <dimension ref="A1:I81"/>
  <sheetViews>
    <sheetView topLeftCell="A60" zoomScale="125" workbookViewId="0">
      <selection activeCell="B87" sqref="B87"/>
    </sheetView>
  </sheetViews>
  <sheetFormatPr baseColWidth="10" defaultRowHeight="15"/>
  <cols>
    <col min="5" max="5" width="13.6640625" customWidth="1"/>
    <col min="6" max="6" width="12.33203125" customWidth="1"/>
    <col min="7" max="7" width="15.664062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/>
      <c r="F1" t="s">
        <v>82</v>
      </c>
      <c r="G1" t="s">
        <v>74</v>
      </c>
      <c r="H1" t="s">
        <v>83</v>
      </c>
    </row>
    <row r="2" spans="1:9">
      <c r="A2" s="1"/>
      <c r="B2" s="1"/>
      <c r="C2" s="1"/>
      <c r="D2" s="3" t="s">
        <v>4</v>
      </c>
      <c r="E2" s="3" t="s">
        <v>5</v>
      </c>
      <c r="H2" t="s">
        <v>85</v>
      </c>
      <c r="I2" t="s">
        <v>84</v>
      </c>
    </row>
    <row r="3" spans="1:9">
      <c r="A3" s="4" t="s">
        <v>6</v>
      </c>
      <c r="B3" s="5" t="s">
        <v>7</v>
      </c>
      <c r="C3" s="6" t="s">
        <v>8</v>
      </c>
      <c r="D3" s="7">
        <v>11462401</v>
      </c>
      <c r="E3" s="7">
        <v>11836731</v>
      </c>
      <c r="F3" s="15">
        <f>D3+E3</f>
        <v>23299132</v>
      </c>
      <c r="G3" s="17">
        <f>F3/$F$3</f>
        <v>1</v>
      </c>
      <c r="H3" s="16">
        <f>D3/F3</f>
        <v>0.49196686812195406</v>
      </c>
      <c r="I3" s="16">
        <f>E3/F3</f>
        <v>0.50803313187804588</v>
      </c>
    </row>
    <row r="4" spans="1:9">
      <c r="A4" s="4"/>
      <c r="B4" s="5"/>
      <c r="C4" s="6" t="s">
        <v>9</v>
      </c>
      <c r="D4" s="8">
        <v>1961619</v>
      </c>
      <c r="E4" s="8">
        <v>2083212</v>
      </c>
      <c r="F4" s="15">
        <f>D4+E4</f>
        <v>4044831</v>
      </c>
      <c r="G4" s="17">
        <f t="shared" ref="G4:G25" si="0">F4/$F$3</f>
        <v>0.17360436431709131</v>
      </c>
      <c r="H4" s="16">
        <f t="shared" ref="H4:H25" si="1">D4/F4</f>
        <v>0.48496933493636696</v>
      </c>
      <c r="I4" s="16">
        <f t="shared" ref="I4:I25" si="2">E4/F4</f>
        <v>0.51503066506363304</v>
      </c>
    </row>
    <row r="5" spans="1:9">
      <c r="A5" s="4"/>
      <c r="B5" s="5"/>
      <c r="C5" s="6" t="s">
        <v>10</v>
      </c>
      <c r="D5" s="8">
        <v>1148819</v>
      </c>
      <c r="E5" s="8">
        <v>1290688</v>
      </c>
      <c r="F5" s="15">
        <f t="shared" ref="F5:F25" si="3">D5+E5</f>
        <v>2439507</v>
      </c>
      <c r="G5" s="17">
        <f t="shared" si="0"/>
        <v>0.10470377179716395</v>
      </c>
      <c r="H5" s="16">
        <f t="shared" si="1"/>
        <v>0.47092260854344753</v>
      </c>
      <c r="I5" s="16">
        <f t="shared" si="2"/>
        <v>0.52907739145655253</v>
      </c>
    </row>
    <row r="6" spans="1:9">
      <c r="A6" s="4"/>
      <c r="B6" s="5"/>
      <c r="C6" s="6" t="s">
        <v>11</v>
      </c>
      <c r="D6" s="8">
        <v>1158094</v>
      </c>
      <c r="E6" s="8">
        <v>1197012</v>
      </c>
      <c r="F6" s="15">
        <f t="shared" si="3"/>
        <v>2355106</v>
      </c>
      <c r="G6" s="17">
        <f t="shared" si="0"/>
        <v>0.10108127633252603</v>
      </c>
      <c r="H6" s="16">
        <f t="shared" si="1"/>
        <v>0.49173752688838634</v>
      </c>
      <c r="I6" s="16">
        <f t="shared" si="2"/>
        <v>0.50826247311161366</v>
      </c>
    </row>
    <row r="7" spans="1:9">
      <c r="A7" s="4"/>
      <c r="B7" s="5"/>
      <c r="C7" s="6" t="s">
        <v>12</v>
      </c>
      <c r="D7" s="8">
        <v>1398055</v>
      </c>
      <c r="E7" s="8">
        <v>1470410</v>
      </c>
      <c r="F7" s="15">
        <f t="shared" si="3"/>
        <v>2868465</v>
      </c>
      <c r="G7" s="17">
        <f t="shared" si="0"/>
        <v>0.12311467225474322</v>
      </c>
      <c r="H7" s="16">
        <f t="shared" si="1"/>
        <v>0.48738785378242372</v>
      </c>
      <c r="I7" s="16">
        <f t="shared" si="2"/>
        <v>0.51261214621757634</v>
      </c>
    </row>
    <row r="8" spans="1:9">
      <c r="A8" s="4"/>
      <c r="B8" s="5"/>
      <c r="C8" s="6" t="s">
        <v>13</v>
      </c>
      <c r="D8" s="8">
        <v>917451</v>
      </c>
      <c r="E8" s="8">
        <v>935026</v>
      </c>
      <c r="F8" s="15">
        <f t="shared" si="3"/>
        <v>1852477</v>
      </c>
      <c r="G8" s="17">
        <f t="shared" si="0"/>
        <v>7.950841258807409E-2</v>
      </c>
      <c r="H8" s="16">
        <f t="shared" si="1"/>
        <v>0.49525635136090757</v>
      </c>
      <c r="I8" s="16">
        <f t="shared" si="2"/>
        <v>0.50474364863909238</v>
      </c>
    </row>
    <row r="9" spans="1:9">
      <c r="A9" s="4"/>
      <c r="B9" s="5"/>
      <c r="C9" s="6" t="s">
        <v>14</v>
      </c>
      <c r="D9" s="8">
        <v>1329197</v>
      </c>
      <c r="E9" s="8">
        <v>1389348</v>
      </c>
      <c r="F9" s="15">
        <f t="shared" si="3"/>
        <v>2718545</v>
      </c>
      <c r="G9" s="17">
        <f t="shared" si="0"/>
        <v>0.11668009778218347</v>
      </c>
      <c r="H9" s="16">
        <f t="shared" si="1"/>
        <v>0.48893691294424041</v>
      </c>
      <c r="I9" s="16">
        <f t="shared" si="2"/>
        <v>0.51106308705575965</v>
      </c>
    </row>
    <row r="10" spans="1:9">
      <c r="A10" s="4"/>
      <c r="B10" s="5"/>
      <c r="C10" s="9" t="s">
        <v>15</v>
      </c>
      <c r="D10" s="10">
        <v>225017</v>
      </c>
      <c r="E10" s="10">
        <v>224319</v>
      </c>
      <c r="F10" s="15">
        <f t="shared" si="3"/>
        <v>449336</v>
      </c>
      <c r="G10" s="17">
        <f t="shared" si="0"/>
        <v>1.9285525314848638E-2</v>
      </c>
      <c r="H10" s="16">
        <f t="shared" si="1"/>
        <v>0.50077670162194887</v>
      </c>
      <c r="I10" s="16">
        <f t="shared" si="2"/>
        <v>0.49922329837805118</v>
      </c>
    </row>
    <row r="11" spans="1:9">
      <c r="A11" s="4"/>
      <c r="B11" s="5"/>
      <c r="C11" s="9" t="s">
        <v>16</v>
      </c>
      <c r="D11" s="10">
        <v>303826</v>
      </c>
      <c r="E11" s="10">
        <v>293409</v>
      </c>
      <c r="F11" s="15">
        <f t="shared" si="3"/>
        <v>597235</v>
      </c>
      <c r="G11" s="17">
        <f t="shared" si="0"/>
        <v>2.5633358358586062E-2</v>
      </c>
      <c r="H11" s="16">
        <f t="shared" si="1"/>
        <v>0.50872102271300246</v>
      </c>
      <c r="I11" s="16">
        <f t="shared" si="2"/>
        <v>0.4912789772869976</v>
      </c>
    </row>
    <row r="12" spans="1:9">
      <c r="A12" s="4"/>
      <c r="B12" s="5"/>
      <c r="C12" s="9" t="s">
        <v>17</v>
      </c>
      <c r="D12" s="10">
        <v>272809</v>
      </c>
      <c r="E12" s="10">
        <v>258363</v>
      </c>
      <c r="F12" s="15">
        <f t="shared" si="3"/>
        <v>531172</v>
      </c>
      <c r="G12" s="17">
        <f t="shared" si="0"/>
        <v>2.2797930841372115E-2</v>
      </c>
      <c r="H12" s="16">
        <f t="shared" si="1"/>
        <v>0.51359823183450937</v>
      </c>
      <c r="I12" s="16">
        <f t="shared" si="2"/>
        <v>0.48640176816549063</v>
      </c>
    </row>
    <row r="13" spans="1:9">
      <c r="A13" s="4"/>
      <c r="B13" s="5"/>
      <c r="C13" s="9" t="s">
        <v>18</v>
      </c>
      <c r="D13" s="10">
        <v>613513</v>
      </c>
      <c r="E13" s="10">
        <v>596693</v>
      </c>
      <c r="F13" s="15">
        <f t="shared" si="3"/>
        <v>1210206</v>
      </c>
      <c r="G13" s="17">
        <f t="shared" si="0"/>
        <v>5.1942106684489363E-2</v>
      </c>
      <c r="H13" s="16">
        <f t="shared" si="1"/>
        <v>0.50694923013106863</v>
      </c>
      <c r="I13" s="16">
        <f t="shared" si="2"/>
        <v>0.49305076986893143</v>
      </c>
    </row>
    <row r="14" spans="1:9">
      <c r="A14" s="4"/>
      <c r="B14" s="5"/>
      <c r="C14" s="9" t="s">
        <v>19</v>
      </c>
      <c r="D14" s="10">
        <v>237579</v>
      </c>
      <c r="E14" s="10">
        <v>230302</v>
      </c>
      <c r="F14" s="15">
        <f t="shared" si="3"/>
        <v>467881</v>
      </c>
      <c r="G14" s="17">
        <f t="shared" si="0"/>
        <v>2.0081477713418679E-2</v>
      </c>
      <c r="H14" s="16">
        <f t="shared" si="1"/>
        <v>0.50777655002019739</v>
      </c>
      <c r="I14" s="16">
        <f t="shared" si="2"/>
        <v>0.49222344997980255</v>
      </c>
    </row>
    <row r="15" spans="1:9">
      <c r="A15" s="4"/>
      <c r="B15" s="5"/>
      <c r="C15" s="9" t="s">
        <v>20</v>
      </c>
      <c r="D15" s="10">
        <v>334243</v>
      </c>
      <c r="E15" s="10">
        <v>316746</v>
      </c>
      <c r="F15" s="15">
        <f t="shared" si="3"/>
        <v>650989</v>
      </c>
      <c r="G15" s="17">
        <f t="shared" si="0"/>
        <v>2.7940482933012267E-2</v>
      </c>
      <c r="H15" s="16">
        <f t="shared" si="1"/>
        <v>0.5134387831438012</v>
      </c>
      <c r="I15" s="16">
        <f t="shared" si="2"/>
        <v>0.4865612168561988</v>
      </c>
    </row>
    <row r="16" spans="1:9">
      <c r="A16" s="4"/>
      <c r="B16" s="5"/>
      <c r="C16" s="9" t="s">
        <v>21</v>
      </c>
      <c r="D16" s="10">
        <v>244656</v>
      </c>
      <c r="E16" s="10">
        <v>228525</v>
      </c>
      <c r="F16" s="15">
        <f t="shared" si="3"/>
        <v>473181</v>
      </c>
      <c r="G16" s="17">
        <f t="shared" si="0"/>
        <v>2.0308953998801327E-2</v>
      </c>
      <c r="H16" s="16">
        <f t="shared" si="1"/>
        <v>0.51704527442986936</v>
      </c>
      <c r="I16" s="16">
        <f t="shared" si="2"/>
        <v>0.48295472557013069</v>
      </c>
    </row>
    <row r="17" spans="1:9">
      <c r="A17" s="4"/>
      <c r="B17" s="5"/>
      <c r="C17" s="9" t="s">
        <v>22</v>
      </c>
      <c r="D17" s="10">
        <v>395140</v>
      </c>
      <c r="E17" s="10">
        <v>387116</v>
      </c>
      <c r="F17" s="15">
        <f t="shared" si="3"/>
        <v>782256</v>
      </c>
      <c r="G17" s="17">
        <f t="shared" si="0"/>
        <v>3.3574469641186634E-2</v>
      </c>
      <c r="H17" s="16">
        <f t="shared" si="1"/>
        <v>0.50512875580372663</v>
      </c>
      <c r="I17" s="16">
        <f t="shared" si="2"/>
        <v>0.49487124419627332</v>
      </c>
    </row>
    <row r="18" spans="1:9">
      <c r="A18" s="4"/>
      <c r="B18" s="5"/>
      <c r="C18" s="9" t="s">
        <v>23</v>
      </c>
      <c r="D18" s="10">
        <v>105848</v>
      </c>
      <c r="E18" s="10">
        <v>102472</v>
      </c>
      <c r="F18" s="15">
        <f t="shared" si="3"/>
        <v>208320</v>
      </c>
      <c r="G18" s="17">
        <f t="shared" si="0"/>
        <v>8.9411056171534633E-3</v>
      </c>
      <c r="H18" s="16">
        <f t="shared" si="1"/>
        <v>0.50810291858678958</v>
      </c>
      <c r="I18" s="16">
        <f t="shared" si="2"/>
        <v>0.49189708141321042</v>
      </c>
    </row>
    <row r="19" spans="1:9">
      <c r="A19" s="4"/>
      <c r="B19" s="5"/>
      <c r="C19" s="9" t="s">
        <v>24</v>
      </c>
      <c r="D19" s="10">
        <v>156629</v>
      </c>
      <c r="E19" s="10">
        <v>156178</v>
      </c>
      <c r="F19" s="15">
        <f t="shared" si="3"/>
        <v>312807</v>
      </c>
      <c r="G19" s="17">
        <f t="shared" si="0"/>
        <v>1.3425693283337765E-2</v>
      </c>
      <c r="H19" s="16">
        <f t="shared" si="1"/>
        <v>0.50072089179589974</v>
      </c>
      <c r="I19" s="16">
        <f t="shared" si="2"/>
        <v>0.49927910820410032</v>
      </c>
    </row>
    <row r="20" spans="1:9">
      <c r="A20" s="4"/>
      <c r="B20" s="5"/>
      <c r="C20" s="9" t="s">
        <v>25</v>
      </c>
      <c r="D20" s="10">
        <v>54574</v>
      </c>
      <c r="E20" s="10">
        <v>52142</v>
      </c>
      <c r="F20" s="15">
        <f t="shared" si="3"/>
        <v>106716</v>
      </c>
      <c r="G20" s="17">
        <f t="shared" si="0"/>
        <v>4.5802564662065521E-3</v>
      </c>
      <c r="H20" s="16">
        <f t="shared" si="1"/>
        <v>0.51139472993740398</v>
      </c>
      <c r="I20" s="16">
        <f t="shared" si="2"/>
        <v>0.48860527006259608</v>
      </c>
    </row>
    <row r="21" spans="1:9">
      <c r="A21" s="4"/>
      <c r="B21" s="5"/>
      <c r="C21" s="9" t="s">
        <v>26</v>
      </c>
      <c r="D21" s="10">
        <v>178300</v>
      </c>
      <c r="E21" s="10">
        <v>181536</v>
      </c>
      <c r="F21" s="15">
        <f t="shared" si="3"/>
        <v>359836</v>
      </c>
      <c r="G21" s="17">
        <f t="shared" si="0"/>
        <v>1.5444180495651083E-2</v>
      </c>
      <c r="H21" s="16">
        <f t="shared" si="1"/>
        <v>0.49550350715325869</v>
      </c>
      <c r="I21" s="16">
        <f t="shared" si="2"/>
        <v>0.50449649284674125</v>
      </c>
    </row>
    <row r="22" spans="1:9">
      <c r="A22" s="4"/>
      <c r="B22" s="5"/>
      <c r="C22" s="9" t="s">
        <v>27</v>
      </c>
      <c r="D22" s="10">
        <v>224870</v>
      </c>
      <c r="E22" s="10">
        <v>230870</v>
      </c>
      <c r="F22" s="15">
        <f t="shared" si="3"/>
        <v>455740</v>
      </c>
      <c r="G22" s="17">
        <f t="shared" si="0"/>
        <v>1.9560385339677033E-2</v>
      </c>
      <c r="H22" s="16">
        <f t="shared" si="1"/>
        <v>0.49341729933734146</v>
      </c>
      <c r="I22" s="16">
        <f t="shared" si="2"/>
        <v>0.50658270066265854</v>
      </c>
    </row>
    <row r="23" spans="1:9">
      <c r="A23" s="4"/>
      <c r="B23" s="5"/>
      <c r="C23" s="9" t="s">
        <v>28</v>
      </c>
      <c r="D23" s="10">
        <v>125065</v>
      </c>
      <c r="E23" s="10">
        <v>136527</v>
      </c>
      <c r="F23" s="15">
        <f t="shared" si="3"/>
        <v>261592</v>
      </c>
      <c r="G23" s="17">
        <f t="shared" si="0"/>
        <v>1.1227542725626002E-2</v>
      </c>
      <c r="H23" s="16">
        <f t="shared" si="1"/>
        <v>0.47809183767087676</v>
      </c>
      <c r="I23" s="16">
        <f t="shared" si="2"/>
        <v>0.52190816232912318</v>
      </c>
    </row>
    <row r="24" spans="1:9">
      <c r="A24" s="4"/>
      <c r="B24" s="5"/>
      <c r="C24" s="9" t="s">
        <v>29</v>
      </c>
      <c r="D24" s="10">
        <v>69184</v>
      </c>
      <c r="E24" s="10">
        <v>70129</v>
      </c>
      <c r="F24" s="15">
        <f t="shared" si="3"/>
        <v>139313</v>
      </c>
      <c r="G24" s="17">
        <f t="shared" si="0"/>
        <v>5.9793214614175328E-3</v>
      </c>
      <c r="H24" s="16">
        <f t="shared" si="1"/>
        <v>0.49660835672191395</v>
      </c>
      <c r="I24" s="16">
        <f t="shared" si="2"/>
        <v>0.50339164327808605</v>
      </c>
    </row>
    <row r="25" spans="1:9">
      <c r="A25" s="4"/>
      <c r="B25" s="5"/>
      <c r="C25" s="9" t="s">
        <v>30</v>
      </c>
      <c r="D25" s="10">
        <v>7913</v>
      </c>
      <c r="E25" s="10">
        <v>5708</v>
      </c>
      <c r="F25" s="15">
        <f t="shared" si="3"/>
        <v>13621</v>
      </c>
      <c r="G25" s="17">
        <f t="shared" si="0"/>
        <v>5.8461405343340691E-4</v>
      </c>
      <c r="H25" s="16">
        <f t="shared" si="1"/>
        <v>0.58094119374495268</v>
      </c>
      <c r="I25" s="16">
        <f t="shared" si="2"/>
        <v>0.41905880625504738</v>
      </c>
    </row>
    <row r="26" spans="1:9">
      <c r="A26" s="18">
        <v>46082</v>
      </c>
    </row>
    <row r="28" spans="1:9">
      <c r="A28" s="1" t="s">
        <v>0</v>
      </c>
      <c r="B28" s="1" t="s">
        <v>1</v>
      </c>
      <c r="C28" s="1" t="s">
        <v>2</v>
      </c>
      <c r="D28" s="2" t="s">
        <v>3</v>
      </c>
      <c r="E28" s="2"/>
    </row>
    <row r="29" spans="1:9">
      <c r="A29" s="1"/>
      <c r="B29" s="1"/>
      <c r="C29" s="1"/>
      <c r="D29" s="3" t="s">
        <v>4</v>
      </c>
      <c r="E29" s="3" t="s">
        <v>5</v>
      </c>
    </row>
    <row r="30" spans="1:9">
      <c r="A30" s="4" t="s">
        <v>31</v>
      </c>
      <c r="B30" s="5" t="s">
        <v>32</v>
      </c>
      <c r="C30" s="6" t="s">
        <v>33</v>
      </c>
      <c r="D30" s="7">
        <v>11462401</v>
      </c>
      <c r="E30" s="7">
        <v>11836731</v>
      </c>
    </row>
    <row r="31" spans="1:9">
      <c r="A31" s="4"/>
      <c r="B31" s="5"/>
      <c r="C31" s="9" t="s">
        <v>34</v>
      </c>
      <c r="D31" s="10">
        <v>353613</v>
      </c>
      <c r="E31" s="10">
        <v>330399</v>
      </c>
    </row>
    <row r="32" spans="1:9">
      <c r="A32" s="4"/>
      <c r="B32" s="5"/>
      <c r="C32" s="9" t="s">
        <v>35</v>
      </c>
      <c r="D32" s="10">
        <v>483955</v>
      </c>
      <c r="E32" s="10">
        <v>450842</v>
      </c>
    </row>
    <row r="33" spans="1:5">
      <c r="A33" s="4"/>
      <c r="B33" s="5"/>
      <c r="C33" s="9" t="s">
        <v>36</v>
      </c>
      <c r="D33" s="10">
        <v>550471</v>
      </c>
      <c r="E33" s="10">
        <v>512610</v>
      </c>
    </row>
    <row r="34" spans="1:5">
      <c r="A34" s="4"/>
      <c r="B34" s="5"/>
      <c r="C34" s="9" t="s">
        <v>37</v>
      </c>
      <c r="D34" s="10">
        <v>507119</v>
      </c>
      <c r="E34" s="10">
        <v>465983</v>
      </c>
    </row>
    <row r="35" spans="1:5">
      <c r="A35" s="4"/>
      <c r="B35" s="5"/>
      <c r="C35" s="9" t="s">
        <v>38</v>
      </c>
      <c r="D35" s="10">
        <v>600272</v>
      </c>
      <c r="E35" s="10">
        <v>551332</v>
      </c>
    </row>
    <row r="36" spans="1:5">
      <c r="A36" s="4"/>
      <c r="B36" s="5"/>
      <c r="C36" s="9" t="s">
        <v>39</v>
      </c>
      <c r="D36" s="10">
        <v>773172</v>
      </c>
      <c r="E36" s="10">
        <v>717522</v>
      </c>
    </row>
    <row r="37" spans="1:5">
      <c r="A37" s="4"/>
      <c r="B37" s="5"/>
      <c r="C37" s="9" t="s">
        <v>40</v>
      </c>
      <c r="D37" s="10">
        <v>823739</v>
      </c>
      <c r="E37" s="10">
        <v>771237</v>
      </c>
    </row>
    <row r="38" spans="1:5">
      <c r="A38" s="4"/>
      <c r="B38" s="5"/>
      <c r="C38" s="9" t="s">
        <v>41</v>
      </c>
      <c r="D38" s="10">
        <v>808771</v>
      </c>
      <c r="E38" s="10">
        <v>775043</v>
      </c>
    </row>
    <row r="39" spans="1:5">
      <c r="A39" s="4"/>
      <c r="B39" s="5"/>
      <c r="C39" s="9" t="s">
        <v>42</v>
      </c>
      <c r="D39" s="10">
        <v>934500</v>
      </c>
      <c r="E39" s="10">
        <v>954413</v>
      </c>
    </row>
    <row r="40" spans="1:5">
      <c r="A40" s="4"/>
      <c r="B40" s="5"/>
      <c r="C40" s="9" t="s">
        <v>43</v>
      </c>
      <c r="D40" s="10">
        <v>978049</v>
      </c>
      <c r="E40" s="10">
        <v>1020299</v>
      </c>
    </row>
    <row r="41" spans="1:5">
      <c r="A41" s="4"/>
      <c r="B41" s="5"/>
      <c r="C41" s="9" t="s">
        <v>44</v>
      </c>
      <c r="D41" s="10">
        <v>840213</v>
      </c>
      <c r="E41" s="10">
        <v>893229</v>
      </c>
    </row>
    <row r="42" spans="1:5">
      <c r="A42" s="4"/>
      <c r="B42" s="5"/>
      <c r="C42" s="9" t="s">
        <v>45</v>
      </c>
      <c r="D42" s="10">
        <v>856943</v>
      </c>
      <c r="E42" s="10">
        <v>907970</v>
      </c>
    </row>
    <row r="43" spans="1:5">
      <c r="A43" s="4"/>
      <c r="B43" s="5"/>
      <c r="C43" s="9" t="s">
        <v>46</v>
      </c>
      <c r="D43" s="10">
        <v>847888</v>
      </c>
      <c r="E43" s="10">
        <v>916393</v>
      </c>
    </row>
    <row r="44" spans="1:5">
      <c r="A44" s="4"/>
      <c r="B44" s="5"/>
      <c r="C44" s="9" t="s">
        <v>47</v>
      </c>
      <c r="D44" s="10">
        <v>755618</v>
      </c>
      <c r="E44" s="10">
        <v>844473</v>
      </c>
    </row>
    <row r="45" spans="1:5">
      <c r="A45" s="4"/>
      <c r="B45" s="5"/>
      <c r="C45" s="9" t="s">
        <v>48</v>
      </c>
      <c r="D45" s="10">
        <v>619521</v>
      </c>
      <c r="E45" s="10">
        <v>722942</v>
      </c>
    </row>
    <row r="46" spans="1:5">
      <c r="A46" s="4"/>
      <c r="B46" s="5"/>
      <c r="C46" s="9" t="s">
        <v>49</v>
      </c>
      <c r="D46" s="10">
        <v>356952</v>
      </c>
      <c r="E46" s="10">
        <v>440607</v>
      </c>
    </row>
    <row r="47" spans="1:5">
      <c r="A47" s="4"/>
      <c r="B47" s="5"/>
      <c r="C47" s="9" t="s">
        <v>50</v>
      </c>
      <c r="D47" s="10">
        <v>196895</v>
      </c>
      <c r="E47" s="10">
        <v>272604</v>
      </c>
    </row>
    <row r="48" spans="1:5">
      <c r="A48" s="4"/>
      <c r="B48" s="5"/>
      <c r="C48" s="9" t="s">
        <v>51</v>
      </c>
      <c r="D48" s="10">
        <v>113102</v>
      </c>
      <c r="E48" s="10">
        <v>185184</v>
      </c>
    </row>
    <row r="49" spans="1:5">
      <c r="A49" s="4"/>
      <c r="B49" s="5"/>
      <c r="C49" s="9" t="s">
        <v>52</v>
      </c>
      <c r="D49" s="10">
        <v>44864</v>
      </c>
      <c r="E49" s="10">
        <v>79273</v>
      </c>
    </row>
    <row r="50" spans="1:5">
      <c r="A50" s="4"/>
      <c r="B50" s="5"/>
      <c r="C50" s="9" t="s">
        <v>53</v>
      </c>
      <c r="D50" s="10">
        <v>14323</v>
      </c>
      <c r="E50" s="10">
        <v>21269</v>
      </c>
    </row>
    <row r="51" spans="1:5">
      <c r="A51" s="4"/>
      <c r="B51" s="5"/>
      <c r="C51" s="9" t="s">
        <v>54</v>
      </c>
      <c r="D51" s="10">
        <v>2421</v>
      </c>
      <c r="E51" s="10">
        <v>3107</v>
      </c>
    </row>
    <row r="52" spans="1:5">
      <c r="A52" s="18">
        <v>46082</v>
      </c>
    </row>
    <row r="54" spans="1:5">
      <c r="A54" s="1" t="s">
        <v>0</v>
      </c>
      <c r="B54" s="1" t="s">
        <v>1</v>
      </c>
      <c r="C54" s="1" t="s">
        <v>2</v>
      </c>
      <c r="D54" s="2" t="s">
        <v>3</v>
      </c>
      <c r="E54" s="2"/>
    </row>
    <row r="55" spans="1:5">
      <c r="A55" s="1"/>
      <c r="B55" s="1"/>
      <c r="C55" s="1"/>
      <c r="D55" s="3" t="s">
        <v>4</v>
      </c>
      <c r="E55" s="3" t="s">
        <v>5</v>
      </c>
    </row>
    <row r="56" spans="1:5">
      <c r="A56" s="4" t="s">
        <v>55</v>
      </c>
      <c r="B56" s="4" t="s">
        <v>56</v>
      </c>
      <c r="C56" s="11" t="s">
        <v>57</v>
      </c>
      <c r="D56" s="12">
        <v>10074362</v>
      </c>
      <c r="E56" s="12">
        <v>10542880</v>
      </c>
    </row>
    <row r="57" spans="1:5">
      <c r="A57" s="4"/>
      <c r="B57" s="4"/>
      <c r="C57" s="13" t="s">
        <v>58</v>
      </c>
      <c r="D57" s="14">
        <v>116094</v>
      </c>
      <c r="E57" s="14">
        <v>51331</v>
      </c>
    </row>
    <row r="58" spans="1:5">
      <c r="A58" s="4"/>
      <c r="B58" s="4"/>
      <c r="C58" s="13" t="s">
        <v>59</v>
      </c>
      <c r="D58" s="14">
        <v>1004531</v>
      </c>
      <c r="E58" s="14">
        <v>735013</v>
      </c>
    </row>
    <row r="59" spans="1:5">
      <c r="A59" s="4"/>
      <c r="B59" s="4"/>
      <c r="C59" s="13" t="s">
        <v>60</v>
      </c>
      <c r="D59" s="14">
        <v>3124501</v>
      </c>
      <c r="E59" s="14">
        <v>3333313</v>
      </c>
    </row>
    <row r="60" spans="1:5" ht="26">
      <c r="A60" s="4"/>
      <c r="B60" s="4"/>
      <c r="C60" s="13" t="s">
        <v>61</v>
      </c>
      <c r="D60" s="14">
        <v>663551</v>
      </c>
      <c r="E60" s="14">
        <v>670875</v>
      </c>
    </row>
    <row r="61" spans="1:5" ht="26">
      <c r="A61" s="4"/>
      <c r="B61" s="4"/>
      <c r="C61" s="13" t="s">
        <v>62</v>
      </c>
      <c r="D61" s="14">
        <v>457925</v>
      </c>
      <c r="E61" s="14">
        <v>445049</v>
      </c>
    </row>
    <row r="62" spans="1:5" ht="26">
      <c r="A62" s="4"/>
      <c r="B62" s="4"/>
      <c r="C62" s="13" t="s">
        <v>63</v>
      </c>
      <c r="D62" s="14">
        <v>28188</v>
      </c>
      <c r="E62" s="14">
        <v>54695</v>
      </c>
    </row>
    <row r="63" spans="1:5">
      <c r="A63" s="4"/>
      <c r="B63" s="4"/>
      <c r="C63" s="13" t="s">
        <v>64</v>
      </c>
      <c r="D63" s="14">
        <v>3039674</v>
      </c>
      <c r="E63" s="14">
        <v>2832218</v>
      </c>
    </row>
    <row r="64" spans="1:5">
      <c r="A64" s="4"/>
      <c r="B64" s="4"/>
      <c r="C64" s="13" t="s">
        <v>65</v>
      </c>
      <c r="D64" s="14">
        <v>1071233</v>
      </c>
      <c r="E64" s="14">
        <v>1136419</v>
      </c>
    </row>
    <row r="65" spans="1:5">
      <c r="A65" s="4"/>
      <c r="B65" s="4"/>
      <c r="C65" s="13" t="s">
        <v>66</v>
      </c>
      <c r="D65" s="14">
        <v>553539</v>
      </c>
      <c r="E65" s="14">
        <v>1142329</v>
      </c>
    </row>
    <row r="66" spans="1:5">
      <c r="A66" s="4"/>
      <c r="B66" s="4"/>
      <c r="C66" s="13" t="s">
        <v>67</v>
      </c>
      <c r="D66" s="14">
        <v>4919</v>
      </c>
      <c r="E66" s="14">
        <v>22435</v>
      </c>
    </row>
    <row r="67" spans="1:5">
      <c r="A67" s="4"/>
      <c r="B67" s="4"/>
      <c r="C67" s="13" t="s">
        <v>68</v>
      </c>
      <c r="D67" s="14">
        <v>10207</v>
      </c>
      <c r="E67" s="14">
        <v>119203</v>
      </c>
    </row>
    <row r="68" spans="1:5">
      <c r="A68" s="18">
        <v>46082</v>
      </c>
    </row>
    <row r="70" spans="1:5">
      <c r="A70" s="1" t="s">
        <v>0</v>
      </c>
      <c r="B70" s="1" t="s">
        <v>1</v>
      </c>
      <c r="C70" s="1" t="s">
        <v>2</v>
      </c>
      <c r="D70" s="2" t="s">
        <v>3</v>
      </c>
      <c r="E70" s="2"/>
    </row>
    <row r="71" spans="1:5">
      <c r="A71" s="1"/>
      <c r="B71" s="1"/>
      <c r="C71" s="1"/>
      <c r="D71" s="3" t="s">
        <v>4</v>
      </c>
      <c r="E71" s="3" t="s">
        <v>5</v>
      </c>
    </row>
    <row r="72" spans="1:5">
      <c r="A72" s="4" t="s">
        <v>31</v>
      </c>
      <c r="B72" s="4" t="s">
        <v>69</v>
      </c>
      <c r="C72" s="6" t="s">
        <v>33</v>
      </c>
      <c r="D72" s="7">
        <v>11462401</v>
      </c>
      <c r="E72" s="7">
        <v>11836731</v>
      </c>
    </row>
    <row r="73" spans="1:5">
      <c r="A73" s="4"/>
      <c r="B73" s="4"/>
      <c r="C73" s="9" t="s">
        <v>70</v>
      </c>
      <c r="D73" s="10">
        <v>5179768</v>
      </c>
      <c r="E73" s="10">
        <v>4512751</v>
      </c>
    </row>
    <row r="74" spans="1:5">
      <c r="A74" s="4"/>
      <c r="B74" s="4"/>
      <c r="C74" s="9" t="s">
        <v>71</v>
      </c>
      <c r="D74" s="10">
        <v>5074531</v>
      </c>
      <c r="E74" s="10">
        <v>5035287</v>
      </c>
    </row>
    <row r="75" spans="1:5">
      <c r="A75" s="4"/>
      <c r="B75" s="4"/>
      <c r="C75" s="9" t="s">
        <v>72</v>
      </c>
      <c r="D75" s="10">
        <v>947800</v>
      </c>
      <c r="E75" s="10">
        <v>1086194</v>
      </c>
    </row>
    <row r="76" spans="1:5">
      <c r="A76" s="4"/>
      <c r="B76" s="4"/>
      <c r="C76" s="9" t="s">
        <v>73</v>
      </c>
      <c r="D76" s="10">
        <v>260302</v>
      </c>
      <c r="E76" s="10">
        <v>1202499</v>
      </c>
    </row>
    <row r="77" spans="1:5">
      <c r="A77" s="18">
        <v>46082</v>
      </c>
    </row>
    <row r="79" spans="1:5">
      <c r="A79" s="18" t="s">
        <v>333</v>
      </c>
    </row>
    <row r="80" spans="1:5">
      <c r="A80" t="s">
        <v>332</v>
      </c>
    </row>
    <row r="81" spans="1:1">
      <c r="A81" s="194" t="s">
        <v>331</v>
      </c>
    </row>
  </sheetData>
  <mergeCells count="24">
    <mergeCell ref="A70:A71"/>
    <mergeCell ref="B70:B71"/>
    <mergeCell ref="C70:C71"/>
    <mergeCell ref="D70:E70"/>
    <mergeCell ref="A72:A76"/>
    <mergeCell ref="B72:B76"/>
    <mergeCell ref="A54:A55"/>
    <mergeCell ref="B54:B55"/>
    <mergeCell ref="C54:C55"/>
    <mergeCell ref="D54:E54"/>
    <mergeCell ref="A56:A67"/>
    <mergeCell ref="B56:B67"/>
    <mergeCell ref="A28:A29"/>
    <mergeCell ref="B28:B29"/>
    <mergeCell ref="C28:C29"/>
    <mergeCell ref="D28:E28"/>
    <mergeCell ref="A30:A51"/>
    <mergeCell ref="B30:B51"/>
    <mergeCell ref="A1:A2"/>
    <mergeCell ref="B1:B2"/>
    <mergeCell ref="C1:C2"/>
    <mergeCell ref="D1:E1"/>
    <mergeCell ref="A3:A25"/>
    <mergeCell ref="B3:B2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B0A8-E621-2146-8B08-1375FC3E267C}">
  <dimension ref="A2:AF34"/>
  <sheetViews>
    <sheetView workbookViewId="0">
      <selection activeCell="A34" sqref="A34"/>
    </sheetView>
  </sheetViews>
  <sheetFormatPr baseColWidth="10" defaultRowHeight="15"/>
  <sheetData>
    <row r="2" spans="1:32" ht="16">
      <c r="A2" s="73" t="s">
        <v>87</v>
      </c>
      <c r="B2" s="76" t="s">
        <v>88</v>
      </c>
      <c r="C2" s="75"/>
      <c r="D2" s="77"/>
      <c r="E2" s="79" t="s">
        <v>89</v>
      </c>
      <c r="F2" s="78"/>
      <c r="G2" s="78"/>
      <c r="H2" s="80"/>
      <c r="I2" s="82" t="s">
        <v>126</v>
      </c>
      <c r="J2" s="81"/>
      <c r="K2" s="81"/>
      <c r="L2" s="83"/>
      <c r="M2" s="82" t="s">
        <v>127</v>
      </c>
      <c r="N2" s="81"/>
      <c r="O2" s="81"/>
      <c r="P2" s="83"/>
      <c r="Q2" s="82" t="s">
        <v>128</v>
      </c>
      <c r="R2" s="81"/>
      <c r="S2" s="81"/>
      <c r="T2" s="83"/>
      <c r="U2" s="82" t="s">
        <v>129</v>
      </c>
      <c r="V2" s="81"/>
      <c r="W2" s="81"/>
      <c r="X2" s="83"/>
      <c r="Y2" s="84" t="s">
        <v>130</v>
      </c>
      <c r="Z2" s="85"/>
      <c r="AA2" s="85"/>
      <c r="AB2" s="86"/>
      <c r="AC2" s="82" t="s">
        <v>131</v>
      </c>
      <c r="AD2" s="81"/>
      <c r="AE2" s="81"/>
      <c r="AF2" s="81"/>
    </row>
    <row r="3" spans="1:32" ht="19">
      <c r="A3" s="74"/>
      <c r="B3" s="49" t="s">
        <v>90</v>
      </c>
      <c r="C3" s="49" t="s">
        <v>4</v>
      </c>
      <c r="D3" s="49" t="s">
        <v>5</v>
      </c>
      <c r="E3" s="49" t="s">
        <v>90</v>
      </c>
      <c r="F3" s="49" t="s">
        <v>4</v>
      </c>
      <c r="G3" s="49" t="s">
        <v>5</v>
      </c>
      <c r="H3" s="50" t="s">
        <v>91</v>
      </c>
      <c r="I3" s="49" t="s">
        <v>90</v>
      </c>
      <c r="J3" s="49" t="s">
        <v>4</v>
      </c>
      <c r="K3" s="49" t="s">
        <v>5</v>
      </c>
      <c r="L3" s="50" t="s">
        <v>91</v>
      </c>
      <c r="M3" s="49" t="s">
        <v>90</v>
      </c>
      <c r="N3" s="49" t="s">
        <v>4</v>
      </c>
      <c r="O3" s="49" t="s">
        <v>5</v>
      </c>
      <c r="P3" s="50" t="s">
        <v>91</v>
      </c>
      <c r="Q3" s="49" t="s">
        <v>90</v>
      </c>
      <c r="R3" s="49" t="s">
        <v>4</v>
      </c>
      <c r="S3" s="49" t="s">
        <v>5</v>
      </c>
      <c r="T3" s="50" t="s">
        <v>91</v>
      </c>
      <c r="U3" s="49" t="s">
        <v>90</v>
      </c>
      <c r="V3" s="49" t="s">
        <v>4</v>
      </c>
      <c r="W3" s="49" t="s">
        <v>5</v>
      </c>
      <c r="X3" s="50" t="s">
        <v>91</v>
      </c>
      <c r="Y3" s="49" t="s">
        <v>90</v>
      </c>
      <c r="Z3" s="49" t="s">
        <v>4</v>
      </c>
      <c r="AA3" s="49" t="s">
        <v>5</v>
      </c>
      <c r="AB3" s="50" t="s">
        <v>91</v>
      </c>
      <c r="AC3" s="49" t="s">
        <v>90</v>
      </c>
      <c r="AD3" s="49" t="s">
        <v>4</v>
      </c>
      <c r="AE3" s="49" t="s">
        <v>5</v>
      </c>
      <c r="AF3" s="48" t="s">
        <v>91</v>
      </c>
    </row>
    <row r="4" spans="1:32" ht="16">
      <c r="A4" s="51" t="s">
        <v>132</v>
      </c>
      <c r="B4" s="52">
        <v>23270568</v>
      </c>
      <c r="C4" s="53">
        <v>11444400</v>
      </c>
      <c r="D4" s="53">
        <v>11826168</v>
      </c>
      <c r="E4" s="53">
        <v>670105</v>
      </c>
      <c r="F4" s="53">
        <v>346428</v>
      </c>
      <c r="G4" s="53">
        <v>323677</v>
      </c>
      <c r="H4" s="54">
        <v>2.88</v>
      </c>
      <c r="I4" s="52">
        <v>1008827</v>
      </c>
      <c r="J4" s="53">
        <v>521802</v>
      </c>
      <c r="K4" s="53">
        <v>487025</v>
      </c>
      <c r="L4" s="55">
        <v>4.34</v>
      </c>
      <c r="M4" s="53">
        <v>2022510</v>
      </c>
      <c r="N4" s="53">
        <v>1046551</v>
      </c>
      <c r="O4" s="53">
        <v>975959</v>
      </c>
      <c r="P4" s="54">
        <v>8.69</v>
      </c>
      <c r="Q4" s="52">
        <v>2218569</v>
      </c>
      <c r="R4" s="53">
        <v>1148052</v>
      </c>
      <c r="S4" s="53">
        <v>1070517</v>
      </c>
      <c r="T4" s="54">
        <v>9.5299999999999994</v>
      </c>
      <c r="U4" s="52">
        <v>1195069</v>
      </c>
      <c r="V4" s="53">
        <v>620078</v>
      </c>
      <c r="W4" s="53">
        <v>574991</v>
      </c>
      <c r="X4" s="54">
        <v>5.14</v>
      </c>
      <c r="Y4" s="52">
        <v>19642015</v>
      </c>
      <c r="Z4" s="53">
        <v>9563304</v>
      </c>
      <c r="AA4" s="53">
        <v>10078711</v>
      </c>
      <c r="AB4" s="54">
        <v>84.41</v>
      </c>
      <c r="AC4" s="52">
        <v>4722683</v>
      </c>
      <c r="AD4" s="53">
        <v>2125427</v>
      </c>
      <c r="AE4" s="53">
        <v>2597256</v>
      </c>
      <c r="AF4" s="54">
        <v>20.29</v>
      </c>
    </row>
    <row r="5" spans="1:32" ht="16">
      <c r="A5" s="56" t="s">
        <v>92</v>
      </c>
      <c r="B5" s="57">
        <v>4042413</v>
      </c>
      <c r="C5" s="57">
        <v>1959858</v>
      </c>
      <c r="D5" s="57">
        <v>2082555</v>
      </c>
      <c r="E5" s="57">
        <v>104425</v>
      </c>
      <c r="F5" s="57">
        <v>53702</v>
      </c>
      <c r="G5" s="57">
        <v>50723</v>
      </c>
      <c r="H5" s="58">
        <v>2.58</v>
      </c>
      <c r="I5" s="59">
        <v>159059</v>
      </c>
      <c r="J5" s="57">
        <v>81875</v>
      </c>
      <c r="K5" s="57">
        <v>77184</v>
      </c>
      <c r="L5" s="60">
        <v>3.93</v>
      </c>
      <c r="M5" s="57">
        <v>324906</v>
      </c>
      <c r="N5" s="57">
        <v>167293</v>
      </c>
      <c r="O5" s="57">
        <v>157613</v>
      </c>
      <c r="P5" s="58">
        <v>8.0399999999999991</v>
      </c>
      <c r="Q5" s="59">
        <v>357140</v>
      </c>
      <c r="R5" s="57">
        <v>184042</v>
      </c>
      <c r="S5" s="57">
        <v>173098</v>
      </c>
      <c r="T5" s="58">
        <v>8.83</v>
      </c>
      <c r="U5" s="59">
        <v>201161</v>
      </c>
      <c r="V5" s="57">
        <v>104321</v>
      </c>
      <c r="W5" s="57">
        <v>96840</v>
      </c>
      <c r="X5" s="58">
        <v>4.9800000000000004</v>
      </c>
      <c r="Y5" s="59">
        <v>3446649</v>
      </c>
      <c r="Z5" s="57">
        <v>1651798</v>
      </c>
      <c r="AA5" s="57">
        <v>1794851</v>
      </c>
      <c r="AB5" s="58">
        <v>85.26</v>
      </c>
      <c r="AC5" s="59">
        <v>816736</v>
      </c>
      <c r="AD5" s="57">
        <v>358636</v>
      </c>
      <c r="AE5" s="57">
        <v>458100</v>
      </c>
      <c r="AF5" s="58">
        <v>20.2</v>
      </c>
    </row>
    <row r="6" spans="1:32" ht="16">
      <c r="A6" s="56" t="s">
        <v>93</v>
      </c>
      <c r="B6" s="57">
        <v>2430886</v>
      </c>
      <c r="C6" s="57">
        <v>1144212</v>
      </c>
      <c r="D6" s="57">
        <v>1286674</v>
      </c>
      <c r="E6" s="57">
        <v>69912</v>
      </c>
      <c r="F6" s="57">
        <v>35866</v>
      </c>
      <c r="G6" s="57">
        <v>34046</v>
      </c>
      <c r="H6" s="58">
        <v>2.88</v>
      </c>
      <c r="I6" s="59">
        <v>105296</v>
      </c>
      <c r="J6" s="57">
        <v>54121</v>
      </c>
      <c r="K6" s="57">
        <v>51175</v>
      </c>
      <c r="L6" s="60">
        <v>4.33</v>
      </c>
      <c r="M6" s="57">
        <v>217816</v>
      </c>
      <c r="N6" s="57">
        <v>112204</v>
      </c>
      <c r="O6" s="57">
        <v>105612</v>
      </c>
      <c r="P6" s="58">
        <v>8.9600000000000009</v>
      </c>
      <c r="Q6" s="59">
        <v>240421</v>
      </c>
      <c r="R6" s="57">
        <v>123841</v>
      </c>
      <c r="S6" s="57">
        <v>116580</v>
      </c>
      <c r="T6" s="58">
        <v>9.89</v>
      </c>
      <c r="U6" s="59">
        <v>127899</v>
      </c>
      <c r="V6" s="57">
        <v>66126</v>
      </c>
      <c r="W6" s="57">
        <v>61773</v>
      </c>
      <c r="X6" s="58">
        <v>5.26</v>
      </c>
      <c r="Y6" s="59">
        <v>2047006</v>
      </c>
      <c r="Z6" s="57">
        <v>946184</v>
      </c>
      <c r="AA6" s="57">
        <v>1100822</v>
      </c>
      <c r="AB6" s="58">
        <v>84.21</v>
      </c>
      <c r="AC6" s="59">
        <v>593938</v>
      </c>
      <c r="AD6" s="57">
        <v>258380</v>
      </c>
      <c r="AE6" s="57">
        <v>335558</v>
      </c>
      <c r="AF6" s="58">
        <v>24.43</v>
      </c>
    </row>
    <row r="7" spans="1:32" ht="16">
      <c r="A7" s="56" t="s">
        <v>94</v>
      </c>
      <c r="B7" s="57">
        <v>2356734</v>
      </c>
      <c r="C7" s="57">
        <v>1158507</v>
      </c>
      <c r="D7" s="57">
        <v>1198227</v>
      </c>
      <c r="E7" s="57">
        <v>80810</v>
      </c>
      <c r="F7" s="57">
        <v>41620</v>
      </c>
      <c r="G7" s="57">
        <v>39190</v>
      </c>
      <c r="H7" s="58">
        <v>3.43</v>
      </c>
      <c r="I7" s="59">
        <v>120659</v>
      </c>
      <c r="J7" s="57">
        <v>62263</v>
      </c>
      <c r="K7" s="57">
        <v>58396</v>
      </c>
      <c r="L7" s="60">
        <v>5.12</v>
      </c>
      <c r="M7" s="57">
        <v>235654</v>
      </c>
      <c r="N7" s="57">
        <v>121916</v>
      </c>
      <c r="O7" s="57">
        <v>113738</v>
      </c>
      <c r="P7" s="58">
        <v>10</v>
      </c>
      <c r="Q7" s="59">
        <v>257580</v>
      </c>
      <c r="R7" s="57">
        <v>133269</v>
      </c>
      <c r="S7" s="57">
        <v>124311</v>
      </c>
      <c r="T7" s="58">
        <v>10.93</v>
      </c>
      <c r="U7" s="59">
        <v>132675</v>
      </c>
      <c r="V7" s="57">
        <v>68877</v>
      </c>
      <c r="W7" s="57">
        <v>63798</v>
      </c>
      <c r="X7" s="58">
        <v>5.63</v>
      </c>
      <c r="Y7" s="59">
        <v>1943535</v>
      </c>
      <c r="Z7" s="57">
        <v>944173</v>
      </c>
      <c r="AA7" s="57">
        <v>999362</v>
      </c>
      <c r="AB7" s="58">
        <v>82.47</v>
      </c>
      <c r="AC7" s="59">
        <v>399476</v>
      </c>
      <c r="AD7" s="57">
        <v>179361</v>
      </c>
      <c r="AE7" s="57">
        <v>220115</v>
      </c>
      <c r="AF7" s="58">
        <v>16.95</v>
      </c>
    </row>
    <row r="8" spans="1:32" ht="16">
      <c r="A8" s="56" t="s">
        <v>95</v>
      </c>
      <c r="B8" s="57">
        <v>2869089</v>
      </c>
      <c r="C8" s="57">
        <v>1397839</v>
      </c>
      <c r="D8" s="57">
        <v>1471250</v>
      </c>
      <c r="E8" s="57">
        <v>90481</v>
      </c>
      <c r="F8" s="57">
        <v>46920</v>
      </c>
      <c r="G8" s="57">
        <v>43561</v>
      </c>
      <c r="H8" s="58">
        <v>3.15</v>
      </c>
      <c r="I8" s="59">
        <v>136974</v>
      </c>
      <c r="J8" s="57">
        <v>70920</v>
      </c>
      <c r="K8" s="57">
        <v>66054</v>
      </c>
      <c r="L8" s="60">
        <v>4.7699999999999996</v>
      </c>
      <c r="M8" s="57">
        <v>277124</v>
      </c>
      <c r="N8" s="57">
        <v>143674</v>
      </c>
      <c r="O8" s="57">
        <v>133450</v>
      </c>
      <c r="P8" s="58">
        <v>9.66</v>
      </c>
      <c r="Q8" s="59">
        <v>303590</v>
      </c>
      <c r="R8" s="57">
        <v>157298</v>
      </c>
      <c r="S8" s="57">
        <v>146292</v>
      </c>
      <c r="T8" s="58">
        <v>10.58</v>
      </c>
      <c r="U8" s="59">
        <v>160174</v>
      </c>
      <c r="V8" s="57">
        <v>82922</v>
      </c>
      <c r="W8" s="57">
        <v>77252</v>
      </c>
      <c r="X8" s="58">
        <v>5.58</v>
      </c>
      <c r="Y8" s="59">
        <v>2377729</v>
      </c>
      <c r="Z8" s="57">
        <v>1143287</v>
      </c>
      <c r="AA8" s="57">
        <v>1234442</v>
      </c>
      <c r="AB8" s="58">
        <v>82.87</v>
      </c>
      <c r="AC8" s="59">
        <v>505436</v>
      </c>
      <c r="AD8" s="57">
        <v>226732</v>
      </c>
      <c r="AE8" s="57">
        <v>278704</v>
      </c>
      <c r="AF8" s="58">
        <v>17.62</v>
      </c>
    </row>
    <row r="9" spans="1:32" ht="16">
      <c r="A9" s="56" t="s">
        <v>96</v>
      </c>
      <c r="B9" s="57">
        <v>1850624</v>
      </c>
      <c r="C9" s="57">
        <v>916197</v>
      </c>
      <c r="D9" s="57">
        <v>934427</v>
      </c>
      <c r="E9" s="57">
        <v>48914</v>
      </c>
      <c r="F9" s="57">
        <v>25574</v>
      </c>
      <c r="G9" s="57">
        <v>23340</v>
      </c>
      <c r="H9" s="58">
        <v>2.64</v>
      </c>
      <c r="I9" s="59">
        <v>75218</v>
      </c>
      <c r="J9" s="57">
        <v>39226</v>
      </c>
      <c r="K9" s="57">
        <v>35992</v>
      </c>
      <c r="L9" s="60">
        <v>4.0599999999999996</v>
      </c>
      <c r="M9" s="57">
        <v>154062</v>
      </c>
      <c r="N9" s="57">
        <v>80028</v>
      </c>
      <c r="O9" s="57">
        <v>74034</v>
      </c>
      <c r="P9" s="58">
        <v>8.32</v>
      </c>
      <c r="Q9" s="59">
        <v>169361</v>
      </c>
      <c r="R9" s="57">
        <v>87911</v>
      </c>
      <c r="S9" s="57">
        <v>81450</v>
      </c>
      <c r="T9" s="58">
        <v>9.15</v>
      </c>
      <c r="U9" s="59">
        <v>92397</v>
      </c>
      <c r="V9" s="57">
        <v>47740</v>
      </c>
      <c r="W9" s="57">
        <v>44657</v>
      </c>
      <c r="X9" s="58">
        <v>4.99</v>
      </c>
      <c r="Y9" s="59">
        <v>1572838</v>
      </c>
      <c r="Z9" s="57">
        <v>772074</v>
      </c>
      <c r="AA9" s="57">
        <v>800764</v>
      </c>
      <c r="AB9" s="58">
        <v>84.99</v>
      </c>
      <c r="AC9" s="59">
        <v>383549</v>
      </c>
      <c r="AD9" s="57">
        <v>175533</v>
      </c>
      <c r="AE9" s="57">
        <v>208016</v>
      </c>
      <c r="AF9" s="58">
        <v>20.73</v>
      </c>
    </row>
    <row r="10" spans="1:32" ht="16">
      <c r="A10" s="56" t="s">
        <v>97</v>
      </c>
      <c r="B10" s="57">
        <v>2714509</v>
      </c>
      <c r="C10" s="57">
        <v>1326716</v>
      </c>
      <c r="D10" s="57">
        <v>1387793</v>
      </c>
      <c r="E10" s="57">
        <v>75280</v>
      </c>
      <c r="F10" s="57">
        <v>38970</v>
      </c>
      <c r="G10" s="57">
        <v>36310</v>
      </c>
      <c r="H10" s="58">
        <v>2.77</v>
      </c>
      <c r="I10" s="59">
        <v>112398</v>
      </c>
      <c r="J10" s="57">
        <v>58068</v>
      </c>
      <c r="K10" s="57">
        <v>54330</v>
      </c>
      <c r="L10" s="60">
        <v>4.1399999999999997</v>
      </c>
      <c r="M10" s="57">
        <v>222520</v>
      </c>
      <c r="N10" s="57">
        <v>115236</v>
      </c>
      <c r="O10" s="57">
        <v>107284</v>
      </c>
      <c r="P10" s="58">
        <v>8.1999999999999993</v>
      </c>
      <c r="Q10" s="59">
        <v>243750</v>
      </c>
      <c r="R10" s="57">
        <v>126204</v>
      </c>
      <c r="S10" s="57">
        <v>117546</v>
      </c>
      <c r="T10" s="58">
        <v>8.98</v>
      </c>
      <c r="U10" s="59">
        <v>130573</v>
      </c>
      <c r="V10" s="57">
        <v>67386</v>
      </c>
      <c r="W10" s="57">
        <v>63187</v>
      </c>
      <c r="X10" s="58">
        <v>4.8099999999999996</v>
      </c>
      <c r="Y10" s="59">
        <v>2315596</v>
      </c>
      <c r="Z10" s="57">
        <v>1120196</v>
      </c>
      <c r="AA10" s="57">
        <v>1195400</v>
      </c>
      <c r="AB10" s="58">
        <v>85.3</v>
      </c>
      <c r="AC10" s="59">
        <v>570712</v>
      </c>
      <c r="AD10" s="57">
        <v>253354</v>
      </c>
      <c r="AE10" s="57">
        <v>317358</v>
      </c>
      <c r="AF10" s="58">
        <v>21.02</v>
      </c>
    </row>
    <row r="11" spans="1:32" ht="16">
      <c r="A11" s="61" t="s">
        <v>15</v>
      </c>
      <c r="B11" s="62">
        <v>448809</v>
      </c>
      <c r="C11" s="62">
        <v>224684</v>
      </c>
      <c r="D11" s="62">
        <v>224125</v>
      </c>
      <c r="E11" s="62">
        <v>12469</v>
      </c>
      <c r="F11" s="62">
        <v>6461</v>
      </c>
      <c r="G11" s="62">
        <v>6008</v>
      </c>
      <c r="H11" s="63">
        <v>2.78</v>
      </c>
      <c r="I11" s="64">
        <v>18829</v>
      </c>
      <c r="J11" s="62">
        <v>9717</v>
      </c>
      <c r="K11" s="62">
        <v>9112</v>
      </c>
      <c r="L11" s="65">
        <v>4.2</v>
      </c>
      <c r="M11" s="62">
        <v>37320</v>
      </c>
      <c r="N11" s="62">
        <v>19262</v>
      </c>
      <c r="O11" s="62">
        <v>18058</v>
      </c>
      <c r="P11" s="63">
        <v>8.32</v>
      </c>
      <c r="Q11" s="64">
        <v>40903</v>
      </c>
      <c r="R11" s="62">
        <v>21151</v>
      </c>
      <c r="S11" s="62">
        <v>19752</v>
      </c>
      <c r="T11" s="63">
        <v>9.11</v>
      </c>
      <c r="U11" s="64">
        <v>22186</v>
      </c>
      <c r="V11" s="62">
        <v>11580</v>
      </c>
      <c r="W11" s="62">
        <v>10606</v>
      </c>
      <c r="X11" s="63">
        <v>4.9400000000000004</v>
      </c>
      <c r="Y11" s="64">
        <v>381677</v>
      </c>
      <c r="Z11" s="62">
        <v>189939</v>
      </c>
      <c r="AA11" s="62">
        <v>191738</v>
      </c>
      <c r="AB11" s="63">
        <v>85.04</v>
      </c>
      <c r="AC11" s="64">
        <v>94212</v>
      </c>
      <c r="AD11" s="62">
        <v>43483</v>
      </c>
      <c r="AE11" s="62">
        <v>50729</v>
      </c>
      <c r="AF11" s="63">
        <v>20.99</v>
      </c>
    </row>
    <row r="12" spans="1:32" ht="16">
      <c r="A12" s="61" t="s">
        <v>16</v>
      </c>
      <c r="B12" s="62">
        <v>597316</v>
      </c>
      <c r="C12" s="62">
        <v>303867</v>
      </c>
      <c r="D12" s="62">
        <v>293449</v>
      </c>
      <c r="E12" s="62">
        <v>22234</v>
      </c>
      <c r="F12" s="62">
        <v>11462</v>
      </c>
      <c r="G12" s="62">
        <v>10772</v>
      </c>
      <c r="H12" s="63">
        <v>3.72</v>
      </c>
      <c r="I12" s="64">
        <v>33791</v>
      </c>
      <c r="J12" s="62">
        <v>17506</v>
      </c>
      <c r="K12" s="62">
        <v>16285</v>
      </c>
      <c r="L12" s="65">
        <v>5.66</v>
      </c>
      <c r="M12" s="62">
        <v>67092</v>
      </c>
      <c r="N12" s="62">
        <v>34834</v>
      </c>
      <c r="O12" s="62">
        <v>32258</v>
      </c>
      <c r="P12" s="63">
        <v>11.23</v>
      </c>
      <c r="Q12" s="64">
        <v>73471</v>
      </c>
      <c r="R12" s="62">
        <v>38075</v>
      </c>
      <c r="S12" s="62">
        <v>35396</v>
      </c>
      <c r="T12" s="63">
        <v>12.3</v>
      </c>
      <c r="U12" s="64">
        <v>38007</v>
      </c>
      <c r="V12" s="62">
        <v>19704</v>
      </c>
      <c r="W12" s="62">
        <v>18303</v>
      </c>
      <c r="X12" s="63">
        <v>6.36</v>
      </c>
      <c r="Y12" s="64">
        <v>479732</v>
      </c>
      <c r="Z12" s="62">
        <v>242830</v>
      </c>
      <c r="AA12" s="62">
        <v>236902</v>
      </c>
      <c r="AB12" s="63">
        <v>80.31</v>
      </c>
      <c r="AC12" s="64">
        <v>91147</v>
      </c>
      <c r="AD12" s="62">
        <v>43411</v>
      </c>
      <c r="AE12" s="62">
        <v>47736</v>
      </c>
      <c r="AF12" s="63">
        <v>15.26</v>
      </c>
    </row>
    <row r="13" spans="1:32" ht="16">
      <c r="A13" s="61" t="s">
        <v>17</v>
      </c>
      <c r="B13" s="62">
        <v>530337</v>
      </c>
      <c r="C13" s="62">
        <v>272344</v>
      </c>
      <c r="D13" s="62">
        <v>257993</v>
      </c>
      <c r="E13" s="62">
        <v>13534</v>
      </c>
      <c r="F13" s="62">
        <v>6978</v>
      </c>
      <c r="G13" s="62">
        <v>6556</v>
      </c>
      <c r="H13" s="63">
        <v>2.5499999999999998</v>
      </c>
      <c r="I13" s="64">
        <v>21017</v>
      </c>
      <c r="J13" s="62">
        <v>10864</v>
      </c>
      <c r="K13" s="62">
        <v>10153</v>
      </c>
      <c r="L13" s="65">
        <v>3.96</v>
      </c>
      <c r="M13" s="62">
        <v>44647</v>
      </c>
      <c r="N13" s="62">
        <v>23081</v>
      </c>
      <c r="O13" s="62">
        <v>21566</v>
      </c>
      <c r="P13" s="63">
        <v>8.42</v>
      </c>
      <c r="Q13" s="64">
        <v>49198</v>
      </c>
      <c r="R13" s="62">
        <v>25437</v>
      </c>
      <c r="S13" s="62">
        <v>23761</v>
      </c>
      <c r="T13" s="63">
        <v>9.2799999999999994</v>
      </c>
      <c r="U13" s="64">
        <v>27783</v>
      </c>
      <c r="V13" s="62">
        <v>14427</v>
      </c>
      <c r="W13" s="62">
        <v>13356</v>
      </c>
      <c r="X13" s="63">
        <v>5.24</v>
      </c>
      <c r="Y13" s="64">
        <v>447985</v>
      </c>
      <c r="Z13" s="62">
        <v>229657</v>
      </c>
      <c r="AA13" s="62">
        <v>218328</v>
      </c>
      <c r="AB13" s="63">
        <v>84.47</v>
      </c>
      <c r="AC13" s="64">
        <v>108496</v>
      </c>
      <c r="AD13" s="62">
        <v>51563</v>
      </c>
      <c r="AE13" s="62">
        <v>56933</v>
      </c>
      <c r="AF13" s="63">
        <v>20.46</v>
      </c>
    </row>
    <row r="14" spans="1:32" ht="16">
      <c r="A14" s="61" t="s">
        <v>18</v>
      </c>
      <c r="B14" s="62">
        <v>1206458</v>
      </c>
      <c r="C14" s="62">
        <v>611478</v>
      </c>
      <c r="D14" s="62">
        <v>594980</v>
      </c>
      <c r="E14" s="62">
        <v>36949</v>
      </c>
      <c r="F14" s="62">
        <v>19126</v>
      </c>
      <c r="G14" s="62">
        <v>17823</v>
      </c>
      <c r="H14" s="63">
        <v>3.06</v>
      </c>
      <c r="I14" s="64">
        <v>54275</v>
      </c>
      <c r="J14" s="62">
        <v>28185</v>
      </c>
      <c r="K14" s="62">
        <v>26090</v>
      </c>
      <c r="L14" s="65">
        <v>4.5</v>
      </c>
      <c r="M14" s="62">
        <v>104749</v>
      </c>
      <c r="N14" s="62">
        <v>54560</v>
      </c>
      <c r="O14" s="62">
        <v>50189</v>
      </c>
      <c r="P14" s="63">
        <v>8.68</v>
      </c>
      <c r="Q14" s="64">
        <v>114306</v>
      </c>
      <c r="R14" s="62">
        <v>59565</v>
      </c>
      <c r="S14" s="62">
        <v>54741</v>
      </c>
      <c r="T14" s="63">
        <v>9.4700000000000006</v>
      </c>
      <c r="U14" s="64">
        <v>61497</v>
      </c>
      <c r="V14" s="62">
        <v>32099</v>
      </c>
      <c r="W14" s="62">
        <v>29398</v>
      </c>
      <c r="X14" s="63">
        <v>5.0999999999999996</v>
      </c>
      <c r="Y14" s="64">
        <v>1017896</v>
      </c>
      <c r="Z14" s="62">
        <v>512905</v>
      </c>
      <c r="AA14" s="62">
        <v>504991</v>
      </c>
      <c r="AB14" s="63">
        <v>84.37</v>
      </c>
      <c r="AC14" s="64">
        <v>248932</v>
      </c>
      <c r="AD14" s="62">
        <v>115436</v>
      </c>
      <c r="AE14" s="62">
        <v>133496</v>
      </c>
      <c r="AF14" s="63">
        <v>20.63</v>
      </c>
    </row>
    <row r="15" spans="1:32" ht="16">
      <c r="A15" s="61" t="s">
        <v>19</v>
      </c>
      <c r="B15" s="62">
        <v>467402</v>
      </c>
      <c r="C15" s="62">
        <v>237229</v>
      </c>
      <c r="D15" s="62">
        <v>230173</v>
      </c>
      <c r="E15" s="62">
        <v>12082</v>
      </c>
      <c r="F15" s="62">
        <v>6271</v>
      </c>
      <c r="G15" s="62">
        <v>5811</v>
      </c>
      <c r="H15" s="63">
        <v>2.58</v>
      </c>
      <c r="I15" s="64">
        <v>18175</v>
      </c>
      <c r="J15" s="62">
        <v>9469</v>
      </c>
      <c r="K15" s="62">
        <v>8706</v>
      </c>
      <c r="L15" s="65">
        <v>3.89</v>
      </c>
      <c r="M15" s="62">
        <v>35895</v>
      </c>
      <c r="N15" s="62">
        <v>18658</v>
      </c>
      <c r="O15" s="62">
        <v>17237</v>
      </c>
      <c r="P15" s="63">
        <v>7.68</v>
      </c>
      <c r="Q15" s="64">
        <v>39230</v>
      </c>
      <c r="R15" s="62">
        <v>20417</v>
      </c>
      <c r="S15" s="62">
        <v>18813</v>
      </c>
      <c r="T15" s="63">
        <v>8.39</v>
      </c>
      <c r="U15" s="64">
        <v>21509</v>
      </c>
      <c r="V15" s="62">
        <v>11202</v>
      </c>
      <c r="W15" s="62">
        <v>10307</v>
      </c>
      <c r="X15" s="63">
        <v>4.5999999999999996</v>
      </c>
      <c r="Y15" s="64">
        <v>401932</v>
      </c>
      <c r="Z15" s="62">
        <v>203203</v>
      </c>
      <c r="AA15" s="62">
        <v>198729</v>
      </c>
      <c r="AB15" s="63">
        <v>85.99</v>
      </c>
      <c r="AC15" s="64">
        <v>107331</v>
      </c>
      <c r="AD15" s="62">
        <v>50445</v>
      </c>
      <c r="AE15" s="62">
        <v>56886</v>
      </c>
      <c r="AF15" s="63">
        <v>22.96</v>
      </c>
    </row>
    <row r="16" spans="1:32" ht="16">
      <c r="A16" s="61" t="s">
        <v>20</v>
      </c>
      <c r="B16" s="62">
        <v>648895</v>
      </c>
      <c r="C16" s="62">
        <v>333066</v>
      </c>
      <c r="D16" s="62">
        <v>315829</v>
      </c>
      <c r="E16" s="62">
        <v>19049</v>
      </c>
      <c r="F16" s="62">
        <v>9940</v>
      </c>
      <c r="G16" s="62">
        <v>9109</v>
      </c>
      <c r="H16" s="63">
        <v>2.94</v>
      </c>
      <c r="I16" s="64">
        <v>27496</v>
      </c>
      <c r="J16" s="62">
        <v>14286</v>
      </c>
      <c r="K16" s="62">
        <v>13210</v>
      </c>
      <c r="L16" s="65">
        <v>4.24</v>
      </c>
      <c r="M16" s="62">
        <v>51765</v>
      </c>
      <c r="N16" s="62">
        <v>26728</v>
      </c>
      <c r="O16" s="62">
        <v>25037</v>
      </c>
      <c r="P16" s="63">
        <v>7.98</v>
      </c>
      <c r="Q16" s="64">
        <v>56605</v>
      </c>
      <c r="R16" s="62">
        <v>29197</v>
      </c>
      <c r="S16" s="62">
        <v>27408</v>
      </c>
      <c r="T16" s="63">
        <v>8.7200000000000006</v>
      </c>
      <c r="U16" s="64">
        <v>30893</v>
      </c>
      <c r="V16" s="62">
        <v>16059</v>
      </c>
      <c r="W16" s="62">
        <v>14834</v>
      </c>
      <c r="X16" s="63">
        <v>4.76</v>
      </c>
      <c r="Y16" s="64">
        <v>554613</v>
      </c>
      <c r="Z16" s="62">
        <v>284166</v>
      </c>
      <c r="AA16" s="62">
        <v>270447</v>
      </c>
      <c r="AB16" s="63">
        <v>85.47</v>
      </c>
      <c r="AC16" s="64">
        <v>142611</v>
      </c>
      <c r="AD16" s="62">
        <v>66668</v>
      </c>
      <c r="AE16" s="62">
        <v>75943</v>
      </c>
      <c r="AF16" s="63">
        <v>21.98</v>
      </c>
    </row>
    <row r="17" spans="1:32" ht="16">
      <c r="A17" s="61" t="s">
        <v>21</v>
      </c>
      <c r="B17" s="62">
        <v>471726</v>
      </c>
      <c r="C17" s="62">
        <v>243891</v>
      </c>
      <c r="D17" s="62">
        <v>227835</v>
      </c>
      <c r="E17" s="62">
        <v>10369</v>
      </c>
      <c r="F17" s="62">
        <v>5374</v>
      </c>
      <c r="G17" s="62">
        <v>4995</v>
      </c>
      <c r="H17" s="63">
        <v>2.2000000000000002</v>
      </c>
      <c r="I17" s="64">
        <v>15399</v>
      </c>
      <c r="J17" s="62">
        <v>7968</v>
      </c>
      <c r="K17" s="62">
        <v>7431</v>
      </c>
      <c r="L17" s="65">
        <v>3.26</v>
      </c>
      <c r="M17" s="62">
        <v>29524</v>
      </c>
      <c r="N17" s="62">
        <v>15264</v>
      </c>
      <c r="O17" s="62">
        <v>14260</v>
      </c>
      <c r="P17" s="63">
        <v>6.26</v>
      </c>
      <c r="Q17" s="64">
        <v>32125</v>
      </c>
      <c r="R17" s="62">
        <v>16638</v>
      </c>
      <c r="S17" s="62">
        <v>15487</v>
      </c>
      <c r="T17" s="63">
        <v>6.81</v>
      </c>
      <c r="U17" s="64">
        <v>18458</v>
      </c>
      <c r="V17" s="62">
        <v>9735</v>
      </c>
      <c r="W17" s="62">
        <v>8723</v>
      </c>
      <c r="X17" s="63">
        <v>3.91</v>
      </c>
      <c r="Y17" s="64">
        <v>416044</v>
      </c>
      <c r="Z17" s="62">
        <v>214853</v>
      </c>
      <c r="AA17" s="62">
        <v>201191</v>
      </c>
      <c r="AB17" s="63">
        <v>88.2</v>
      </c>
      <c r="AC17" s="64">
        <v>115036</v>
      </c>
      <c r="AD17" s="62">
        <v>54829</v>
      </c>
      <c r="AE17" s="62">
        <v>60207</v>
      </c>
      <c r="AF17" s="63">
        <v>24.39</v>
      </c>
    </row>
    <row r="18" spans="1:32" ht="16">
      <c r="A18" s="61" t="s">
        <v>22</v>
      </c>
      <c r="B18" s="62">
        <v>780365</v>
      </c>
      <c r="C18" s="62">
        <v>393992</v>
      </c>
      <c r="D18" s="62">
        <v>386373</v>
      </c>
      <c r="E18" s="62">
        <v>20598</v>
      </c>
      <c r="F18" s="62">
        <v>10648</v>
      </c>
      <c r="G18" s="62">
        <v>9950</v>
      </c>
      <c r="H18" s="63">
        <v>2.64</v>
      </c>
      <c r="I18" s="64">
        <v>30709</v>
      </c>
      <c r="J18" s="62">
        <v>15911</v>
      </c>
      <c r="K18" s="62">
        <v>14798</v>
      </c>
      <c r="L18" s="65">
        <v>3.94</v>
      </c>
      <c r="M18" s="62">
        <v>59853</v>
      </c>
      <c r="N18" s="62">
        <v>31019</v>
      </c>
      <c r="O18" s="62">
        <v>28834</v>
      </c>
      <c r="P18" s="63">
        <v>7.67</v>
      </c>
      <c r="Q18" s="64">
        <v>65455</v>
      </c>
      <c r="R18" s="62">
        <v>33915</v>
      </c>
      <c r="S18" s="62">
        <v>31540</v>
      </c>
      <c r="T18" s="63">
        <v>8.39</v>
      </c>
      <c r="U18" s="64">
        <v>33977</v>
      </c>
      <c r="V18" s="62">
        <v>17770</v>
      </c>
      <c r="W18" s="62">
        <v>16207</v>
      </c>
      <c r="X18" s="63">
        <v>4.3499999999999996</v>
      </c>
      <c r="Y18" s="64">
        <v>673710</v>
      </c>
      <c r="Z18" s="62">
        <v>338515</v>
      </c>
      <c r="AA18" s="62">
        <v>335195</v>
      </c>
      <c r="AB18" s="63">
        <v>86.33</v>
      </c>
      <c r="AC18" s="64">
        <v>172303</v>
      </c>
      <c r="AD18" s="62">
        <v>79361</v>
      </c>
      <c r="AE18" s="62">
        <v>92942</v>
      </c>
      <c r="AF18" s="63">
        <v>22.08</v>
      </c>
    </row>
    <row r="19" spans="1:32" ht="16">
      <c r="A19" s="61" t="s">
        <v>23</v>
      </c>
      <c r="B19" s="62">
        <v>208003</v>
      </c>
      <c r="C19" s="62">
        <v>105625</v>
      </c>
      <c r="D19" s="62">
        <v>102378</v>
      </c>
      <c r="E19" s="62">
        <v>6241</v>
      </c>
      <c r="F19" s="62">
        <v>3206</v>
      </c>
      <c r="G19" s="62">
        <v>3035</v>
      </c>
      <c r="H19" s="63">
        <v>3</v>
      </c>
      <c r="I19" s="64">
        <v>9005</v>
      </c>
      <c r="J19" s="62">
        <v>4632</v>
      </c>
      <c r="K19" s="62">
        <v>4373</v>
      </c>
      <c r="L19" s="65">
        <v>4.33</v>
      </c>
      <c r="M19" s="62">
        <v>17134</v>
      </c>
      <c r="N19" s="62">
        <v>8888</v>
      </c>
      <c r="O19" s="62">
        <v>8246</v>
      </c>
      <c r="P19" s="63">
        <v>8.24</v>
      </c>
      <c r="Q19" s="64">
        <v>18720</v>
      </c>
      <c r="R19" s="62">
        <v>9725</v>
      </c>
      <c r="S19" s="62">
        <v>8995</v>
      </c>
      <c r="T19" s="63">
        <v>9</v>
      </c>
      <c r="U19" s="64">
        <v>9826</v>
      </c>
      <c r="V19" s="62">
        <v>5146</v>
      </c>
      <c r="W19" s="62">
        <v>4680</v>
      </c>
      <c r="X19" s="63">
        <v>4.72</v>
      </c>
      <c r="Y19" s="64">
        <v>177288</v>
      </c>
      <c r="Z19" s="62">
        <v>89632</v>
      </c>
      <c r="AA19" s="62">
        <v>87656</v>
      </c>
      <c r="AB19" s="63">
        <v>85.23</v>
      </c>
      <c r="AC19" s="64">
        <v>44023</v>
      </c>
      <c r="AD19" s="62">
        <v>20000</v>
      </c>
      <c r="AE19" s="62">
        <v>24023</v>
      </c>
      <c r="AF19" s="63">
        <v>21.16</v>
      </c>
    </row>
    <row r="20" spans="1:32" ht="16">
      <c r="A20" s="61" t="s">
        <v>24</v>
      </c>
      <c r="B20" s="62">
        <v>311842</v>
      </c>
      <c r="C20" s="62">
        <v>156086</v>
      </c>
      <c r="D20" s="62">
        <v>155756</v>
      </c>
      <c r="E20" s="62">
        <v>8786</v>
      </c>
      <c r="F20" s="62">
        <v>4562</v>
      </c>
      <c r="G20" s="62">
        <v>4224</v>
      </c>
      <c r="H20" s="63">
        <v>2.82</v>
      </c>
      <c r="I20" s="64">
        <v>12949</v>
      </c>
      <c r="J20" s="62">
        <v>6776</v>
      </c>
      <c r="K20" s="62">
        <v>6173</v>
      </c>
      <c r="L20" s="65">
        <v>4.1500000000000004</v>
      </c>
      <c r="M20" s="62">
        <v>25489</v>
      </c>
      <c r="N20" s="62">
        <v>13300</v>
      </c>
      <c r="O20" s="62">
        <v>12189</v>
      </c>
      <c r="P20" s="63">
        <v>8.17</v>
      </c>
      <c r="Q20" s="64">
        <v>27993</v>
      </c>
      <c r="R20" s="62">
        <v>14610</v>
      </c>
      <c r="S20" s="62">
        <v>13383</v>
      </c>
      <c r="T20" s="63">
        <v>8.98</v>
      </c>
      <c r="U20" s="64">
        <v>14954</v>
      </c>
      <c r="V20" s="62">
        <v>7881</v>
      </c>
      <c r="W20" s="62">
        <v>7073</v>
      </c>
      <c r="X20" s="63">
        <v>4.8</v>
      </c>
      <c r="Y20" s="64">
        <v>265873</v>
      </c>
      <c r="Z20" s="62">
        <v>131973</v>
      </c>
      <c r="AA20" s="62">
        <v>133900</v>
      </c>
      <c r="AB20" s="63">
        <v>85.26</v>
      </c>
      <c r="AC20" s="64">
        <v>67888</v>
      </c>
      <c r="AD20" s="62">
        <v>30738</v>
      </c>
      <c r="AE20" s="62">
        <v>37150</v>
      </c>
      <c r="AF20" s="63">
        <v>21.77</v>
      </c>
    </row>
    <row r="21" spans="1:32" ht="16">
      <c r="A21" s="61" t="s">
        <v>25</v>
      </c>
      <c r="B21" s="62">
        <v>106567</v>
      </c>
      <c r="C21" s="62">
        <v>54469</v>
      </c>
      <c r="D21" s="62">
        <v>52098</v>
      </c>
      <c r="E21" s="62">
        <v>3320</v>
      </c>
      <c r="F21" s="62">
        <v>1644</v>
      </c>
      <c r="G21" s="62">
        <v>1676</v>
      </c>
      <c r="H21" s="63">
        <v>3.12</v>
      </c>
      <c r="I21" s="64">
        <v>4636</v>
      </c>
      <c r="J21" s="62">
        <v>2354</v>
      </c>
      <c r="K21" s="62">
        <v>2282</v>
      </c>
      <c r="L21" s="65">
        <v>4.3499999999999996</v>
      </c>
      <c r="M21" s="62">
        <v>7884</v>
      </c>
      <c r="N21" s="62">
        <v>4089</v>
      </c>
      <c r="O21" s="62">
        <v>3795</v>
      </c>
      <c r="P21" s="63">
        <v>7.4</v>
      </c>
      <c r="Q21" s="64">
        <v>8497</v>
      </c>
      <c r="R21" s="62">
        <v>4419</v>
      </c>
      <c r="S21" s="62">
        <v>4078</v>
      </c>
      <c r="T21" s="63">
        <v>7.97</v>
      </c>
      <c r="U21" s="64">
        <v>3955</v>
      </c>
      <c r="V21" s="62">
        <v>2078</v>
      </c>
      <c r="W21" s="62">
        <v>1877</v>
      </c>
      <c r="X21" s="63">
        <v>3.71</v>
      </c>
      <c r="Y21" s="64">
        <v>92704</v>
      </c>
      <c r="Z21" s="62">
        <v>47218</v>
      </c>
      <c r="AA21" s="62">
        <v>45486</v>
      </c>
      <c r="AB21" s="63">
        <v>86.99</v>
      </c>
      <c r="AC21" s="64">
        <v>22686</v>
      </c>
      <c r="AD21" s="62">
        <v>10719</v>
      </c>
      <c r="AE21" s="62">
        <v>11967</v>
      </c>
      <c r="AF21" s="63">
        <v>21.29</v>
      </c>
    </row>
    <row r="22" spans="1:32" ht="16">
      <c r="A22" s="61" t="s">
        <v>26</v>
      </c>
      <c r="B22" s="62">
        <v>359132</v>
      </c>
      <c r="C22" s="62">
        <v>177844</v>
      </c>
      <c r="D22" s="62">
        <v>181288</v>
      </c>
      <c r="E22" s="62">
        <v>7494</v>
      </c>
      <c r="F22" s="62">
        <v>3944</v>
      </c>
      <c r="G22" s="62">
        <v>3550</v>
      </c>
      <c r="H22" s="63">
        <v>2.09</v>
      </c>
      <c r="I22" s="64">
        <v>11769</v>
      </c>
      <c r="J22" s="62">
        <v>6176</v>
      </c>
      <c r="K22" s="62">
        <v>5593</v>
      </c>
      <c r="L22" s="65">
        <v>3.28</v>
      </c>
      <c r="M22" s="62">
        <v>24898</v>
      </c>
      <c r="N22" s="62">
        <v>12917</v>
      </c>
      <c r="O22" s="62">
        <v>11981</v>
      </c>
      <c r="P22" s="63">
        <v>6.93</v>
      </c>
      <c r="Q22" s="64">
        <v>27439</v>
      </c>
      <c r="R22" s="62">
        <v>14241</v>
      </c>
      <c r="S22" s="62">
        <v>13198</v>
      </c>
      <c r="T22" s="63">
        <v>7.64</v>
      </c>
      <c r="U22" s="64">
        <v>15760</v>
      </c>
      <c r="V22" s="62">
        <v>8164</v>
      </c>
      <c r="W22" s="62">
        <v>7596</v>
      </c>
      <c r="X22" s="63">
        <v>4.3899999999999997</v>
      </c>
      <c r="Y22" s="64">
        <v>312661</v>
      </c>
      <c r="Z22" s="62">
        <v>153736</v>
      </c>
      <c r="AA22" s="62">
        <v>158925</v>
      </c>
      <c r="AB22" s="63">
        <v>87.06</v>
      </c>
      <c r="AC22" s="64">
        <v>81049</v>
      </c>
      <c r="AD22" s="62">
        <v>36402</v>
      </c>
      <c r="AE22" s="62">
        <v>44647</v>
      </c>
      <c r="AF22" s="63">
        <v>22.57</v>
      </c>
    </row>
    <row r="23" spans="1:32" ht="16">
      <c r="A23" s="61" t="s">
        <v>27</v>
      </c>
      <c r="B23" s="62">
        <v>455843</v>
      </c>
      <c r="C23" s="62">
        <v>224852</v>
      </c>
      <c r="D23" s="62">
        <v>230991</v>
      </c>
      <c r="E23" s="62">
        <v>16507</v>
      </c>
      <c r="F23" s="62">
        <v>8599</v>
      </c>
      <c r="G23" s="62">
        <v>7908</v>
      </c>
      <c r="H23" s="63">
        <v>3.62</v>
      </c>
      <c r="I23" s="64">
        <v>25082</v>
      </c>
      <c r="J23" s="62">
        <v>13114</v>
      </c>
      <c r="K23" s="62">
        <v>11968</v>
      </c>
      <c r="L23" s="65">
        <v>5.5</v>
      </c>
      <c r="M23" s="62">
        <v>51557</v>
      </c>
      <c r="N23" s="62">
        <v>26751</v>
      </c>
      <c r="O23" s="62">
        <v>24806</v>
      </c>
      <c r="P23" s="63">
        <v>11.31</v>
      </c>
      <c r="Q23" s="64">
        <v>56894</v>
      </c>
      <c r="R23" s="62">
        <v>29534</v>
      </c>
      <c r="S23" s="62">
        <v>27360</v>
      </c>
      <c r="T23" s="63">
        <v>12.48</v>
      </c>
      <c r="U23" s="64">
        <v>30883</v>
      </c>
      <c r="V23" s="62">
        <v>16111</v>
      </c>
      <c r="W23" s="62">
        <v>14772</v>
      </c>
      <c r="X23" s="63">
        <v>6.77</v>
      </c>
      <c r="Y23" s="64">
        <v>363930</v>
      </c>
      <c r="Z23" s="62">
        <v>177017</v>
      </c>
      <c r="AA23" s="62">
        <v>186913</v>
      </c>
      <c r="AB23" s="63">
        <v>79.84</v>
      </c>
      <c r="AC23" s="64">
        <v>74501</v>
      </c>
      <c r="AD23" s="62">
        <v>32804</v>
      </c>
      <c r="AE23" s="62">
        <v>41697</v>
      </c>
      <c r="AF23" s="63">
        <v>16.34</v>
      </c>
    </row>
    <row r="24" spans="1:32" ht="16">
      <c r="A24" s="61" t="s">
        <v>28</v>
      </c>
      <c r="B24" s="62">
        <v>261551</v>
      </c>
      <c r="C24" s="62">
        <v>124949</v>
      </c>
      <c r="D24" s="62">
        <v>136602</v>
      </c>
      <c r="E24" s="62">
        <v>7376</v>
      </c>
      <c r="F24" s="62">
        <v>3807</v>
      </c>
      <c r="G24" s="62">
        <v>3569</v>
      </c>
      <c r="H24" s="63">
        <v>2.82</v>
      </c>
      <c r="I24" s="64">
        <v>11319</v>
      </c>
      <c r="J24" s="62">
        <v>5845</v>
      </c>
      <c r="K24" s="62">
        <v>5474</v>
      </c>
      <c r="L24" s="65">
        <v>4.33</v>
      </c>
      <c r="M24" s="62">
        <v>23566</v>
      </c>
      <c r="N24" s="62">
        <v>12096</v>
      </c>
      <c r="O24" s="62">
        <v>11470</v>
      </c>
      <c r="P24" s="63">
        <v>9.01</v>
      </c>
      <c r="Q24" s="64">
        <v>26036</v>
      </c>
      <c r="R24" s="62">
        <v>13398</v>
      </c>
      <c r="S24" s="62">
        <v>12638</v>
      </c>
      <c r="T24" s="63">
        <v>9.9499999999999993</v>
      </c>
      <c r="U24" s="64">
        <v>14908</v>
      </c>
      <c r="V24" s="62">
        <v>7821</v>
      </c>
      <c r="W24" s="62">
        <v>7087</v>
      </c>
      <c r="X24" s="63">
        <v>5.7</v>
      </c>
      <c r="Y24" s="64">
        <v>218039</v>
      </c>
      <c r="Z24" s="62">
        <v>102458</v>
      </c>
      <c r="AA24" s="62">
        <v>115581</v>
      </c>
      <c r="AB24" s="63">
        <v>83.36</v>
      </c>
      <c r="AC24" s="64">
        <v>52608</v>
      </c>
      <c r="AD24" s="62">
        <v>22879</v>
      </c>
      <c r="AE24" s="62">
        <v>29729</v>
      </c>
      <c r="AF24" s="63">
        <v>20.11</v>
      </c>
    </row>
    <row r="25" spans="1:32" ht="16">
      <c r="A25" s="61" t="s">
        <v>29</v>
      </c>
      <c r="B25" s="62">
        <v>138438</v>
      </c>
      <c r="C25" s="62">
        <v>68749</v>
      </c>
      <c r="D25" s="62">
        <v>69689</v>
      </c>
      <c r="E25" s="62">
        <v>2895</v>
      </c>
      <c r="F25" s="62">
        <v>1535</v>
      </c>
      <c r="G25" s="62">
        <v>1360</v>
      </c>
      <c r="H25" s="63">
        <v>2.09</v>
      </c>
      <c r="I25" s="64">
        <v>4233</v>
      </c>
      <c r="J25" s="62">
        <v>2223</v>
      </c>
      <c r="K25" s="62">
        <v>2010</v>
      </c>
      <c r="L25" s="65">
        <v>3.06</v>
      </c>
      <c r="M25" s="62">
        <v>8068</v>
      </c>
      <c r="N25" s="62">
        <v>4208</v>
      </c>
      <c r="O25" s="62">
        <v>3860</v>
      </c>
      <c r="P25" s="63">
        <v>5.83</v>
      </c>
      <c r="Q25" s="64">
        <v>8787</v>
      </c>
      <c r="R25" s="62">
        <v>4578</v>
      </c>
      <c r="S25" s="62">
        <v>4209</v>
      </c>
      <c r="T25" s="63">
        <v>6.35</v>
      </c>
      <c r="U25" s="64">
        <v>5007</v>
      </c>
      <c r="V25" s="62">
        <v>2608</v>
      </c>
      <c r="W25" s="62">
        <v>2399</v>
      </c>
      <c r="X25" s="63">
        <v>3.62</v>
      </c>
      <c r="Y25" s="64">
        <v>122763</v>
      </c>
      <c r="Z25" s="62">
        <v>60539</v>
      </c>
      <c r="AA25" s="62">
        <v>62224</v>
      </c>
      <c r="AB25" s="63">
        <v>88.68</v>
      </c>
      <c r="AC25" s="64">
        <v>27650</v>
      </c>
      <c r="AD25" s="62">
        <v>13380</v>
      </c>
      <c r="AE25" s="62">
        <v>14270</v>
      </c>
      <c r="AF25" s="63">
        <v>19.97</v>
      </c>
    </row>
    <row r="26" spans="1:32" ht="16">
      <c r="A26" s="61" t="s">
        <v>30</v>
      </c>
      <c r="B26" s="62">
        <v>13629</v>
      </c>
      <c r="C26" s="62">
        <v>7946</v>
      </c>
      <c r="D26" s="62">
        <v>5683</v>
      </c>
      <c r="E26" s="62">
        <v>380</v>
      </c>
      <c r="F26" s="62">
        <v>219</v>
      </c>
      <c r="G26" s="62">
        <v>161</v>
      </c>
      <c r="H26" s="63">
        <v>2.79</v>
      </c>
      <c r="I26" s="64">
        <v>539</v>
      </c>
      <c r="J26" s="62">
        <v>303</v>
      </c>
      <c r="K26" s="62">
        <v>236</v>
      </c>
      <c r="L26" s="65">
        <v>3.95</v>
      </c>
      <c r="M26" s="62">
        <v>987</v>
      </c>
      <c r="N26" s="62">
        <v>545</v>
      </c>
      <c r="O26" s="62">
        <v>442</v>
      </c>
      <c r="P26" s="63">
        <v>7.24</v>
      </c>
      <c r="Q26" s="64">
        <v>1068</v>
      </c>
      <c r="R26" s="62">
        <v>587</v>
      </c>
      <c r="S26" s="62">
        <v>481</v>
      </c>
      <c r="T26" s="63">
        <v>7.84</v>
      </c>
      <c r="U26" s="64">
        <v>587</v>
      </c>
      <c r="V26" s="62">
        <v>321</v>
      </c>
      <c r="W26" s="62">
        <v>266</v>
      </c>
      <c r="X26" s="63">
        <v>4.3099999999999996</v>
      </c>
      <c r="Y26" s="64">
        <v>11815</v>
      </c>
      <c r="Z26" s="62">
        <v>6951</v>
      </c>
      <c r="AA26" s="62">
        <v>4864</v>
      </c>
      <c r="AB26" s="63">
        <v>86.69</v>
      </c>
      <c r="AC26" s="64">
        <v>2363</v>
      </c>
      <c r="AD26" s="62">
        <v>1313</v>
      </c>
      <c r="AE26" s="62">
        <v>1050</v>
      </c>
      <c r="AF26" s="63">
        <v>17.34</v>
      </c>
    </row>
    <row r="27" spans="1:32" ht="16">
      <c r="A27" s="66"/>
      <c r="B27" s="67"/>
      <c r="C27" s="68"/>
      <c r="D27" s="68"/>
      <c r="E27" s="67"/>
      <c r="F27" s="68"/>
      <c r="G27" s="68"/>
      <c r="H27" s="69"/>
      <c r="I27" s="70"/>
      <c r="J27" s="68"/>
      <c r="K27" s="68"/>
      <c r="L27" s="71"/>
      <c r="M27" s="67"/>
      <c r="N27" s="68"/>
      <c r="O27" s="68"/>
      <c r="P27" s="69"/>
      <c r="Q27" s="70"/>
      <c r="R27" s="68"/>
      <c r="S27" s="68"/>
      <c r="T27" s="69"/>
      <c r="U27" s="70"/>
      <c r="V27" s="68"/>
      <c r="W27" s="68"/>
      <c r="X27" s="69"/>
      <c r="Y27" s="70"/>
      <c r="Z27" s="68"/>
      <c r="AA27" s="68"/>
      <c r="AB27" s="69"/>
      <c r="AC27" s="70"/>
      <c r="AD27" s="68"/>
      <c r="AE27" s="68"/>
      <c r="AF27" s="69"/>
    </row>
    <row r="28" spans="1:32">
      <c r="A28" s="19">
        <v>46107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</row>
    <row r="29" spans="1:32" ht="16" customHeight="1"/>
    <row r="32" spans="1:32">
      <c r="A32" t="s">
        <v>329</v>
      </c>
    </row>
    <row r="33" spans="1:1">
      <c r="A33" s="195" t="s">
        <v>330</v>
      </c>
    </row>
    <row r="34" spans="1:1">
      <c r="A34" s="194" t="s">
        <v>328</v>
      </c>
    </row>
  </sheetData>
  <mergeCells count="9">
    <mergeCell ref="U2:X2"/>
    <mergeCell ref="Y2:AB2"/>
    <mergeCell ref="AC2:AF2"/>
    <mergeCell ref="A2:A3"/>
    <mergeCell ref="B2:D2"/>
    <mergeCell ref="E2:H2"/>
    <mergeCell ref="I2:L2"/>
    <mergeCell ref="M2:P2"/>
    <mergeCell ref="Q2:T2"/>
  </mergeCells>
  <phoneticPr fontId="3" type="noConversion"/>
  <hyperlinks>
    <hyperlink ref="A34" r:id="rId1" xr:uid="{D2057395-50F2-5E4A-81F2-57962B0295B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4E73-263F-BD4F-A187-A4E69AB82FB0}">
  <dimension ref="A1:AA81"/>
  <sheetViews>
    <sheetView topLeftCell="A46" workbookViewId="0">
      <selection activeCell="A79" sqref="A79"/>
    </sheetView>
  </sheetViews>
  <sheetFormatPr baseColWidth="10" defaultRowHeight="15"/>
  <sheetData>
    <row r="1" spans="1:27" ht="22">
      <c r="A1" s="20" t="s">
        <v>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 t="s">
        <v>99</v>
      </c>
      <c r="N3" s="23"/>
      <c r="O3" s="23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4" t="s">
        <v>100</v>
      </c>
    </row>
    <row r="4" spans="1:27">
      <c r="A4" s="25" t="s">
        <v>101</v>
      </c>
      <c r="B4" s="26"/>
      <c r="C4" s="26"/>
      <c r="D4" s="27" t="s">
        <v>102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 t="s">
        <v>103</v>
      </c>
    </row>
    <row r="5" spans="1:27">
      <c r="A5" s="25"/>
      <c r="B5" s="29"/>
      <c r="C5" s="30"/>
      <c r="D5" s="27" t="s">
        <v>104</v>
      </c>
      <c r="E5" s="27" t="s">
        <v>105</v>
      </c>
      <c r="F5" s="27"/>
      <c r="G5" s="27"/>
      <c r="H5" s="27"/>
      <c r="I5" s="27" t="s">
        <v>106</v>
      </c>
      <c r="J5" s="27"/>
      <c r="K5" s="27" t="s">
        <v>107</v>
      </c>
      <c r="L5" s="27"/>
      <c r="M5" s="27"/>
      <c r="N5" s="27"/>
      <c r="O5" s="27" t="s">
        <v>108</v>
      </c>
      <c r="P5" s="27"/>
      <c r="Q5" s="27"/>
      <c r="R5" s="27"/>
      <c r="S5" s="27"/>
      <c r="T5" s="27" t="s">
        <v>109</v>
      </c>
      <c r="U5" s="27"/>
      <c r="V5" s="27" t="s">
        <v>110</v>
      </c>
      <c r="W5" s="27"/>
      <c r="X5" s="27" t="s">
        <v>111</v>
      </c>
      <c r="Y5" s="27"/>
      <c r="Z5" s="27" t="s">
        <v>112</v>
      </c>
      <c r="AA5" s="28"/>
    </row>
    <row r="6" spans="1:27">
      <c r="A6" s="25"/>
      <c r="B6" s="29" t="s">
        <v>113</v>
      </c>
      <c r="C6" s="30" t="s">
        <v>114</v>
      </c>
      <c r="D6" s="27"/>
      <c r="E6" s="31" t="s">
        <v>115</v>
      </c>
      <c r="F6" s="31"/>
      <c r="G6" s="31" t="s">
        <v>116</v>
      </c>
      <c r="H6" s="31"/>
      <c r="I6" s="27"/>
      <c r="J6" s="27"/>
      <c r="K6" s="27" t="s">
        <v>117</v>
      </c>
      <c r="L6" s="27"/>
      <c r="M6" s="27" t="s">
        <v>118</v>
      </c>
      <c r="N6" s="27"/>
      <c r="O6" s="27" t="s">
        <v>119</v>
      </c>
      <c r="P6" s="27"/>
      <c r="Q6" s="27" t="s">
        <v>120</v>
      </c>
      <c r="R6" s="27"/>
      <c r="S6" s="27"/>
      <c r="T6" s="27"/>
      <c r="U6" s="27"/>
      <c r="V6" s="27"/>
      <c r="W6" s="27"/>
      <c r="X6" s="27"/>
      <c r="Y6" s="27"/>
      <c r="Z6" s="27"/>
      <c r="AA6" s="28"/>
    </row>
    <row r="7" spans="1:27">
      <c r="A7" s="25"/>
      <c r="B7" s="32"/>
      <c r="C7" s="33"/>
      <c r="D7" s="27"/>
      <c r="E7" s="31"/>
      <c r="F7" s="31"/>
      <c r="G7" s="31"/>
      <c r="H7" s="31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</row>
    <row r="8" spans="1:27" ht="32">
      <c r="A8" s="25"/>
      <c r="B8" s="34"/>
      <c r="C8" s="35"/>
      <c r="D8" s="27"/>
      <c r="E8" s="36" t="s">
        <v>121</v>
      </c>
      <c r="F8" s="37" t="s">
        <v>122</v>
      </c>
      <c r="G8" s="36" t="s">
        <v>121</v>
      </c>
      <c r="H8" s="37" t="s">
        <v>122</v>
      </c>
      <c r="I8" s="36" t="s">
        <v>121</v>
      </c>
      <c r="J8" s="37" t="s">
        <v>122</v>
      </c>
      <c r="K8" s="36" t="s">
        <v>121</v>
      </c>
      <c r="L8" s="37" t="s">
        <v>122</v>
      </c>
      <c r="M8" s="36" t="s">
        <v>121</v>
      </c>
      <c r="N8" s="37" t="s">
        <v>122</v>
      </c>
      <c r="O8" s="36" t="s">
        <v>121</v>
      </c>
      <c r="P8" s="37" t="s">
        <v>122</v>
      </c>
      <c r="Q8" s="36" t="s">
        <v>121</v>
      </c>
      <c r="R8" s="37" t="s">
        <v>122</v>
      </c>
      <c r="S8" s="38" t="s">
        <v>123</v>
      </c>
      <c r="T8" s="36" t="s">
        <v>121</v>
      </c>
      <c r="U8" s="37" t="s">
        <v>122</v>
      </c>
      <c r="V8" s="36" t="s">
        <v>121</v>
      </c>
      <c r="W8" s="37" t="s">
        <v>122</v>
      </c>
      <c r="X8" s="36" t="s">
        <v>121</v>
      </c>
      <c r="Y8" s="37" t="s">
        <v>122</v>
      </c>
      <c r="Z8" s="27"/>
      <c r="AA8" s="28"/>
    </row>
    <row r="9" spans="1:27" ht="16">
      <c r="A9" s="39" t="s">
        <v>124</v>
      </c>
      <c r="B9" s="29" t="s">
        <v>90</v>
      </c>
      <c r="C9" s="40">
        <v>20617242</v>
      </c>
      <c r="D9" s="40">
        <v>20487832</v>
      </c>
      <c r="E9" s="40">
        <v>115693</v>
      </c>
      <c r="F9" s="40">
        <v>51732</v>
      </c>
      <c r="G9" s="40">
        <v>1379888</v>
      </c>
      <c r="H9" s="40">
        <v>359656</v>
      </c>
      <c r="I9" s="40">
        <v>5183800</v>
      </c>
      <c r="J9" s="40">
        <v>1274014</v>
      </c>
      <c r="K9" s="40">
        <v>1148382</v>
      </c>
      <c r="L9" s="40">
        <v>186044</v>
      </c>
      <c r="M9" s="40">
        <v>835586</v>
      </c>
      <c r="N9" s="41">
        <v>67388</v>
      </c>
      <c r="O9" s="40">
        <v>1079751</v>
      </c>
      <c r="P9" s="40">
        <v>491858</v>
      </c>
      <c r="Q9" s="40">
        <v>3552187</v>
      </c>
      <c r="R9" s="40">
        <v>748096</v>
      </c>
      <c r="S9" s="40">
        <v>82883</v>
      </c>
      <c r="T9" s="40">
        <v>1929895</v>
      </c>
      <c r="U9" s="40">
        <v>247932</v>
      </c>
      <c r="V9" s="40">
        <v>23878</v>
      </c>
      <c r="W9" s="40">
        <v>5947</v>
      </c>
      <c r="X9" s="40">
        <v>1512593</v>
      </c>
      <c r="Y9" s="40">
        <v>183275</v>
      </c>
      <c r="Z9" s="40">
        <v>27354</v>
      </c>
      <c r="AA9" s="40">
        <v>129410</v>
      </c>
    </row>
    <row r="10" spans="1:27" ht="16">
      <c r="A10" s="42" t="s">
        <v>125</v>
      </c>
      <c r="B10" s="29" t="s">
        <v>4</v>
      </c>
      <c r="C10" s="40">
        <v>10074362</v>
      </c>
      <c r="D10" s="40">
        <v>10064155</v>
      </c>
      <c r="E10" s="40">
        <v>81682</v>
      </c>
      <c r="F10" s="40">
        <v>34412</v>
      </c>
      <c r="G10" s="40">
        <v>806639</v>
      </c>
      <c r="H10" s="40">
        <v>197892</v>
      </c>
      <c r="I10" s="40">
        <v>2420560</v>
      </c>
      <c r="J10" s="40">
        <v>703941</v>
      </c>
      <c r="K10" s="40">
        <v>557298</v>
      </c>
      <c r="L10" s="40">
        <v>106253</v>
      </c>
      <c r="M10" s="40">
        <v>425115</v>
      </c>
      <c r="N10" s="43">
        <v>32810</v>
      </c>
      <c r="O10" s="40">
        <v>522459</v>
      </c>
      <c r="P10" s="40">
        <v>262295</v>
      </c>
      <c r="Q10" s="40">
        <v>1792599</v>
      </c>
      <c r="R10" s="40">
        <v>462321</v>
      </c>
      <c r="S10" s="40">
        <v>28188</v>
      </c>
      <c r="T10" s="40">
        <v>929450</v>
      </c>
      <c r="U10" s="40">
        <v>127344</v>
      </c>
      <c r="V10" s="40">
        <v>10863</v>
      </c>
      <c r="W10" s="40">
        <v>3576</v>
      </c>
      <c r="X10" s="40">
        <v>510097</v>
      </c>
      <c r="Y10" s="40">
        <v>43442</v>
      </c>
      <c r="Z10" s="40">
        <v>4919</v>
      </c>
      <c r="AA10" s="40">
        <v>10207</v>
      </c>
    </row>
    <row r="11" spans="1:27" ht="16">
      <c r="A11" s="44" t="s">
        <v>124</v>
      </c>
      <c r="B11" s="45" t="s">
        <v>5</v>
      </c>
      <c r="C11" s="46">
        <v>10542880</v>
      </c>
      <c r="D11" s="46">
        <v>10423677</v>
      </c>
      <c r="E11" s="46">
        <v>34011</v>
      </c>
      <c r="F11" s="46">
        <v>17320</v>
      </c>
      <c r="G11" s="46">
        <v>573249</v>
      </c>
      <c r="H11" s="46">
        <v>161764</v>
      </c>
      <c r="I11" s="46">
        <v>2763240</v>
      </c>
      <c r="J11" s="46">
        <v>570073</v>
      </c>
      <c r="K11" s="46">
        <v>591084</v>
      </c>
      <c r="L11" s="46">
        <v>79791</v>
      </c>
      <c r="M11" s="46">
        <v>410471</v>
      </c>
      <c r="N11" s="47">
        <v>34578</v>
      </c>
      <c r="O11" s="46">
        <v>557292</v>
      </c>
      <c r="P11" s="46">
        <v>229563</v>
      </c>
      <c r="Q11" s="46">
        <v>1759588</v>
      </c>
      <c r="R11" s="46">
        <v>285775</v>
      </c>
      <c r="S11" s="46">
        <v>54695</v>
      </c>
      <c r="T11" s="46">
        <v>1000445</v>
      </c>
      <c r="U11" s="46">
        <v>120588</v>
      </c>
      <c r="V11" s="46">
        <v>13015</v>
      </c>
      <c r="W11" s="46">
        <v>2371</v>
      </c>
      <c r="X11" s="46">
        <v>1002496</v>
      </c>
      <c r="Y11" s="46">
        <v>139833</v>
      </c>
      <c r="Z11" s="46">
        <v>22435</v>
      </c>
      <c r="AA11" s="46">
        <v>119203</v>
      </c>
    </row>
    <row r="12" spans="1:27" ht="16">
      <c r="A12" s="39" t="s">
        <v>124</v>
      </c>
      <c r="B12" s="29" t="s">
        <v>90</v>
      </c>
      <c r="C12" s="40">
        <v>3609935</v>
      </c>
      <c r="D12" s="40">
        <v>3595612</v>
      </c>
      <c r="E12" s="40">
        <v>17279</v>
      </c>
      <c r="F12" s="40">
        <v>8258</v>
      </c>
      <c r="G12" s="40">
        <v>238276</v>
      </c>
      <c r="H12" s="40">
        <v>59434</v>
      </c>
      <c r="I12" s="40">
        <v>936461</v>
      </c>
      <c r="J12" s="40">
        <v>227887</v>
      </c>
      <c r="K12" s="40">
        <v>212884</v>
      </c>
      <c r="L12" s="40">
        <v>35864</v>
      </c>
      <c r="M12" s="40">
        <v>158798</v>
      </c>
      <c r="N12" s="41">
        <v>12734</v>
      </c>
      <c r="O12" s="40">
        <v>223393</v>
      </c>
      <c r="P12" s="40">
        <v>96003</v>
      </c>
      <c r="Q12" s="40">
        <v>562050</v>
      </c>
      <c r="R12" s="40">
        <v>123341</v>
      </c>
      <c r="S12" s="40">
        <v>14998</v>
      </c>
      <c r="T12" s="40">
        <v>367641</v>
      </c>
      <c r="U12" s="40">
        <v>41027</v>
      </c>
      <c r="V12" s="40">
        <v>4043</v>
      </c>
      <c r="W12" s="40">
        <v>1002</v>
      </c>
      <c r="X12" s="40">
        <v>229154</v>
      </c>
      <c r="Y12" s="40">
        <v>21208</v>
      </c>
      <c r="Z12" s="40">
        <v>3877</v>
      </c>
      <c r="AA12" s="40">
        <v>14323</v>
      </c>
    </row>
    <row r="13" spans="1:27" ht="16">
      <c r="A13" s="42" t="s">
        <v>92</v>
      </c>
      <c r="B13" s="29" t="s">
        <v>4</v>
      </c>
      <c r="C13" s="40">
        <v>1737521</v>
      </c>
      <c r="D13" s="40">
        <v>1736187</v>
      </c>
      <c r="E13" s="40">
        <v>11985</v>
      </c>
      <c r="F13" s="40">
        <v>5453</v>
      </c>
      <c r="G13" s="40">
        <v>140409</v>
      </c>
      <c r="H13" s="40">
        <v>33221</v>
      </c>
      <c r="I13" s="40">
        <v>433356</v>
      </c>
      <c r="J13" s="40">
        <v>125368</v>
      </c>
      <c r="K13" s="40">
        <v>96603</v>
      </c>
      <c r="L13" s="40">
        <v>20613</v>
      </c>
      <c r="M13" s="40">
        <v>81259</v>
      </c>
      <c r="N13" s="43">
        <v>6956</v>
      </c>
      <c r="O13" s="40">
        <v>107679</v>
      </c>
      <c r="P13" s="40">
        <v>51301</v>
      </c>
      <c r="Q13" s="40">
        <v>265016</v>
      </c>
      <c r="R13" s="40">
        <v>74356</v>
      </c>
      <c r="S13" s="40">
        <v>6313</v>
      </c>
      <c r="T13" s="40">
        <v>170032</v>
      </c>
      <c r="U13" s="40">
        <v>20589</v>
      </c>
      <c r="V13" s="40">
        <v>1671</v>
      </c>
      <c r="W13" s="40">
        <v>511</v>
      </c>
      <c r="X13" s="40">
        <v>76986</v>
      </c>
      <c r="Y13" s="40">
        <v>5667</v>
      </c>
      <c r="Z13" s="40">
        <v>843</v>
      </c>
      <c r="AA13" s="40">
        <v>1334</v>
      </c>
    </row>
    <row r="14" spans="1:27" ht="16">
      <c r="A14" s="44" t="s">
        <v>124</v>
      </c>
      <c r="B14" s="45" t="s">
        <v>5</v>
      </c>
      <c r="C14" s="46">
        <v>1872414</v>
      </c>
      <c r="D14" s="46">
        <v>1859425</v>
      </c>
      <c r="E14" s="46">
        <v>5294</v>
      </c>
      <c r="F14" s="46">
        <v>2805</v>
      </c>
      <c r="G14" s="46">
        <v>97867</v>
      </c>
      <c r="H14" s="46">
        <v>26213</v>
      </c>
      <c r="I14" s="46">
        <v>503105</v>
      </c>
      <c r="J14" s="46">
        <v>102519</v>
      </c>
      <c r="K14" s="46">
        <v>116281</v>
      </c>
      <c r="L14" s="46">
        <v>15251</v>
      </c>
      <c r="M14" s="46">
        <v>77539</v>
      </c>
      <c r="N14" s="47">
        <v>5778</v>
      </c>
      <c r="O14" s="46">
        <v>115714</v>
      </c>
      <c r="P14" s="46">
        <v>44702</v>
      </c>
      <c r="Q14" s="46">
        <v>297034</v>
      </c>
      <c r="R14" s="46">
        <v>48985</v>
      </c>
      <c r="S14" s="46">
        <v>8685</v>
      </c>
      <c r="T14" s="46">
        <v>197609</v>
      </c>
      <c r="U14" s="46">
        <v>20438</v>
      </c>
      <c r="V14" s="46">
        <v>2372</v>
      </c>
      <c r="W14" s="46">
        <v>491</v>
      </c>
      <c r="X14" s="46">
        <v>152168</v>
      </c>
      <c r="Y14" s="46">
        <v>15541</v>
      </c>
      <c r="Z14" s="46">
        <v>3034</v>
      </c>
      <c r="AA14" s="46">
        <v>12989</v>
      </c>
    </row>
    <row r="15" spans="1:27" ht="16">
      <c r="A15" s="39" t="s">
        <v>124</v>
      </c>
      <c r="B15" s="29" t="s">
        <v>90</v>
      </c>
      <c r="C15" s="40">
        <v>2147609</v>
      </c>
      <c r="D15" s="40">
        <v>2142271</v>
      </c>
      <c r="E15" s="40">
        <v>29111</v>
      </c>
      <c r="F15" s="40">
        <v>9404</v>
      </c>
      <c r="G15" s="40">
        <v>250849</v>
      </c>
      <c r="H15" s="40">
        <v>45305</v>
      </c>
      <c r="I15" s="40">
        <v>708333</v>
      </c>
      <c r="J15" s="40">
        <v>118272</v>
      </c>
      <c r="K15" s="40">
        <v>120043</v>
      </c>
      <c r="L15" s="40">
        <v>13094</v>
      </c>
      <c r="M15" s="40">
        <v>121477</v>
      </c>
      <c r="N15" s="41">
        <v>6178</v>
      </c>
      <c r="O15" s="40">
        <v>129666</v>
      </c>
      <c r="P15" s="40">
        <v>58659</v>
      </c>
      <c r="Q15" s="40">
        <v>235733</v>
      </c>
      <c r="R15" s="40">
        <v>38728</v>
      </c>
      <c r="S15" s="40">
        <v>5442</v>
      </c>
      <c r="T15" s="40">
        <v>105360</v>
      </c>
      <c r="U15" s="40">
        <v>23402</v>
      </c>
      <c r="V15" s="40">
        <v>2664</v>
      </c>
      <c r="W15" s="40">
        <v>577</v>
      </c>
      <c r="X15" s="40">
        <v>106813</v>
      </c>
      <c r="Y15" s="40">
        <v>10841</v>
      </c>
      <c r="Z15" s="40">
        <v>2320</v>
      </c>
      <c r="AA15" s="40">
        <v>5338</v>
      </c>
    </row>
    <row r="16" spans="1:27" ht="16">
      <c r="A16" s="42" t="s">
        <v>93</v>
      </c>
      <c r="B16" s="29" t="s">
        <v>4</v>
      </c>
      <c r="C16" s="40">
        <v>998278</v>
      </c>
      <c r="D16" s="40">
        <v>997714</v>
      </c>
      <c r="E16" s="40">
        <v>19865</v>
      </c>
      <c r="F16" s="40">
        <v>6066</v>
      </c>
      <c r="G16" s="40">
        <v>139547</v>
      </c>
      <c r="H16" s="40">
        <v>24396</v>
      </c>
      <c r="I16" s="40">
        <v>319887</v>
      </c>
      <c r="J16" s="40">
        <v>64004</v>
      </c>
      <c r="K16" s="40">
        <v>50650</v>
      </c>
      <c r="L16" s="40">
        <v>7230</v>
      </c>
      <c r="M16" s="40">
        <v>57867</v>
      </c>
      <c r="N16" s="43">
        <v>3201</v>
      </c>
      <c r="O16" s="40">
        <v>58535</v>
      </c>
      <c r="P16" s="40">
        <v>30407</v>
      </c>
      <c r="Q16" s="40">
        <v>99771</v>
      </c>
      <c r="R16" s="40">
        <v>22701</v>
      </c>
      <c r="S16" s="40">
        <v>2119</v>
      </c>
      <c r="T16" s="40">
        <v>44956</v>
      </c>
      <c r="U16" s="40">
        <v>11293</v>
      </c>
      <c r="V16" s="40">
        <v>913</v>
      </c>
      <c r="W16" s="40">
        <v>262</v>
      </c>
      <c r="X16" s="40">
        <v>30216</v>
      </c>
      <c r="Y16" s="40">
        <v>3427</v>
      </c>
      <c r="Z16" s="40">
        <v>401</v>
      </c>
      <c r="AA16" s="40">
        <v>564</v>
      </c>
    </row>
    <row r="17" spans="1:27" ht="16">
      <c r="A17" s="44" t="s">
        <v>124</v>
      </c>
      <c r="B17" s="45" t="s">
        <v>5</v>
      </c>
      <c r="C17" s="46">
        <v>1149331</v>
      </c>
      <c r="D17" s="46">
        <v>1144557</v>
      </c>
      <c r="E17" s="46">
        <v>9246</v>
      </c>
      <c r="F17" s="46">
        <v>3338</v>
      </c>
      <c r="G17" s="46">
        <v>111302</v>
      </c>
      <c r="H17" s="46">
        <v>20909</v>
      </c>
      <c r="I17" s="46">
        <v>388446</v>
      </c>
      <c r="J17" s="46">
        <v>54268</v>
      </c>
      <c r="K17" s="46">
        <v>69393</v>
      </c>
      <c r="L17" s="46">
        <v>5864</v>
      </c>
      <c r="M17" s="46">
        <v>63610</v>
      </c>
      <c r="N17" s="47">
        <v>2977</v>
      </c>
      <c r="O17" s="46">
        <v>71131</v>
      </c>
      <c r="P17" s="46">
        <v>28252</v>
      </c>
      <c r="Q17" s="46">
        <v>135962</v>
      </c>
      <c r="R17" s="46">
        <v>16027</v>
      </c>
      <c r="S17" s="46">
        <v>3323</v>
      </c>
      <c r="T17" s="46">
        <v>60404</v>
      </c>
      <c r="U17" s="46">
        <v>12109</v>
      </c>
      <c r="V17" s="46">
        <v>1751</v>
      </c>
      <c r="W17" s="46">
        <v>315</v>
      </c>
      <c r="X17" s="46">
        <v>76597</v>
      </c>
      <c r="Y17" s="46">
        <v>7414</v>
      </c>
      <c r="Z17" s="46">
        <v>1919</v>
      </c>
      <c r="AA17" s="46">
        <v>4774</v>
      </c>
    </row>
    <row r="18" spans="1:27" ht="16">
      <c r="A18" s="39" t="s">
        <v>124</v>
      </c>
      <c r="B18" s="29" t="s">
        <v>90</v>
      </c>
      <c r="C18" s="40">
        <v>2045866</v>
      </c>
      <c r="D18" s="40">
        <v>2036508</v>
      </c>
      <c r="E18" s="40">
        <v>8786</v>
      </c>
      <c r="F18" s="40">
        <v>4659</v>
      </c>
      <c r="G18" s="40">
        <v>131063</v>
      </c>
      <c r="H18" s="40">
        <v>35230</v>
      </c>
      <c r="I18" s="40">
        <v>531333</v>
      </c>
      <c r="J18" s="40">
        <v>143979</v>
      </c>
      <c r="K18" s="40">
        <v>115228</v>
      </c>
      <c r="L18" s="40">
        <v>16802</v>
      </c>
      <c r="M18" s="40">
        <v>79798</v>
      </c>
      <c r="N18" s="41">
        <v>6348</v>
      </c>
      <c r="O18" s="40">
        <v>119481</v>
      </c>
      <c r="P18" s="40">
        <v>53288</v>
      </c>
      <c r="Q18" s="40">
        <v>354974</v>
      </c>
      <c r="R18" s="40">
        <v>84278</v>
      </c>
      <c r="S18" s="40">
        <v>6448</v>
      </c>
      <c r="T18" s="40">
        <v>177329</v>
      </c>
      <c r="U18" s="40">
        <v>25691</v>
      </c>
      <c r="V18" s="40">
        <v>1285</v>
      </c>
      <c r="W18" s="40">
        <v>301</v>
      </c>
      <c r="X18" s="40">
        <v>126083</v>
      </c>
      <c r="Y18" s="40">
        <v>11812</v>
      </c>
      <c r="Z18" s="40">
        <v>2312</v>
      </c>
      <c r="AA18" s="40">
        <v>9358</v>
      </c>
    </row>
    <row r="19" spans="1:27" ht="16">
      <c r="A19" s="42" t="s">
        <v>94</v>
      </c>
      <c r="B19" s="29" t="s">
        <v>4</v>
      </c>
      <c r="C19" s="40">
        <v>998037</v>
      </c>
      <c r="D19" s="40">
        <v>997221</v>
      </c>
      <c r="E19" s="40">
        <v>6538</v>
      </c>
      <c r="F19" s="40">
        <v>3251</v>
      </c>
      <c r="G19" s="40">
        <v>79174</v>
      </c>
      <c r="H19" s="40">
        <v>19855</v>
      </c>
      <c r="I19" s="40">
        <v>249877</v>
      </c>
      <c r="J19" s="40">
        <v>80694</v>
      </c>
      <c r="K19" s="40">
        <v>55904</v>
      </c>
      <c r="L19" s="40">
        <v>9238</v>
      </c>
      <c r="M19" s="40">
        <v>42577</v>
      </c>
      <c r="N19" s="43">
        <v>3221</v>
      </c>
      <c r="O19" s="40">
        <v>56246</v>
      </c>
      <c r="P19" s="40">
        <v>28390</v>
      </c>
      <c r="Q19" s="40">
        <v>175688</v>
      </c>
      <c r="R19" s="40">
        <v>50171</v>
      </c>
      <c r="S19" s="40">
        <v>1881</v>
      </c>
      <c r="T19" s="40">
        <v>80067</v>
      </c>
      <c r="U19" s="40">
        <v>12558</v>
      </c>
      <c r="V19" s="40">
        <v>628</v>
      </c>
      <c r="W19" s="40">
        <v>171</v>
      </c>
      <c r="X19" s="40">
        <v>37612</v>
      </c>
      <c r="Y19" s="40">
        <v>2981</v>
      </c>
      <c r="Z19" s="40">
        <v>499</v>
      </c>
      <c r="AA19" s="40">
        <v>816</v>
      </c>
    </row>
    <row r="20" spans="1:27" ht="16">
      <c r="A20" s="44" t="s">
        <v>124</v>
      </c>
      <c r="B20" s="45" t="s">
        <v>5</v>
      </c>
      <c r="C20" s="46">
        <v>1047829</v>
      </c>
      <c r="D20" s="46">
        <v>1039287</v>
      </c>
      <c r="E20" s="46">
        <v>2248</v>
      </c>
      <c r="F20" s="46">
        <v>1408</v>
      </c>
      <c r="G20" s="46">
        <v>51889</v>
      </c>
      <c r="H20" s="46">
        <v>15375</v>
      </c>
      <c r="I20" s="46">
        <v>281456</v>
      </c>
      <c r="J20" s="46">
        <v>63285</v>
      </c>
      <c r="K20" s="46">
        <v>59324</v>
      </c>
      <c r="L20" s="46">
        <v>7564</v>
      </c>
      <c r="M20" s="46">
        <v>37221</v>
      </c>
      <c r="N20" s="47">
        <v>3127</v>
      </c>
      <c r="O20" s="46">
        <v>63235</v>
      </c>
      <c r="P20" s="46">
        <v>24898</v>
      </c>
      <c r="Q20" s="46">
        <v>179286</v>
      </c>
      <c r="R20" s="46">
        <v>34107</v>
      </c>
      <c r="S20" s="46">
        <v>4567</v>
      </c>
      <c r="T20" s="46">
        <v>97262</v>
      </c>
      <c r="U20" s="46">
        <v>13133</v>
      </c>
      <c r="V20" s="46">
        <v>657</v>
      </c>
      <c r="W20" s="46">
        <v>130</v>
      </c>
      <c r="X20" s="46">
        <v>88471</v>
      </c>
      <c r="Y20" s="46">
        <v>8831</v>
      </c>
      <c r="Z20" s="46">
        <v>1813</v>
      </c>
      <c r="AA20" s="46">
        <v>8542</v>
      </c>
    </row>
    <row r="21" spans="1:27" ht="16">
      <c r="A21" s="39" t="s">
        <v>124</v>
      </c>
      <c r="B21" s="29" t="s">
        <v>90</v>
      </c>
      <c r="C21" s="40">
        <v>2502739</v>
      </c>
      <c r="D21" s="40">
        <v>2490634</v>
      </c>
      <c r="E21" s="40">
        <v>14176</v>
      </c>
      <c r="F21" s="40">
        <v>6603</v>
      </c>
      <c r="G21" s="40">
        <v>166390</v>
      </c>
      <c r="H21" s="40">
        <v>46538</v>
      </c>
      <c r="I21" s="40">
        <v>663080</v>
      </c>
      <c r="J21" s="40">
        <v>164937</v>
      </c>
      <c r="K21" s="40">
        <v>150019</v>
      </c>
      <c r="L21" s="40">
        <v>24256</v>
      </c>
      <c r="M21" s="40">
        <v>98831</v>
      </c>
      <c r="N21" s="41">
        <v>7238</v>
      </c>
      <c r="O21" s="40">
        <v>111024</v>
      </c>
      <c r="P21" s="40">
        <v>55805</v>
      </c>
      <c r="Q21" s="40">
        <v>458615</v>
      </c>
      <c r="R21" s="40">
        <v>92565</v>
      </c>
      <c r="S21" s="40">
        <v>7296</v>
      </c>
      <c r="T21" s="40">
        <v>217160</v>
      </c>
      <c r="U21" s="40">
        <v>24500</v>
      </c>
      <c r="V21" s="40">
        <v>3716</v>
      </c>
      <c r="W21" s="40">
        <v>721</v>
      </c>
      <c r="X21" s="40">
        <v>161710</v>
      </c>
      <c r="Y21" s="40">
        <v>13113</v>
      </c>
      <c r="Z21" s="40">
        <v>2341</v>
      </c>
      <c r="AA21" s="40">
        <v>12105</v>
      </c>
    </row>
    <row r="22" spans="1:27" ht="16">
      <c r="A22" s="42" t="s">
        <v>95</v>
      </c>
      <c r="B22" s="29" t="s">
        <v>4</v>
      </c>
      <c r="C22" s="40">
        <v>1208617</v>
      </c>
      <c r="D22" s="40">
        <v>1207433</v>
      </c>
      <c r="E22" s="40">
        <v>9752</v>
      </c>
      <c r="F22" s="40">
        <v>4293</v>
      </c>
      <c r="G22" s="40">
        <v>95638</v>
      </c>
      <c r="H22" s="40">
        <v>25623</v>
      </c>
      <c r="I22" s="40">
        <v>303206</v>
      </c>
      <c r="J22" s="40">
        <v>89505</v>
      </c>
      <c r="K22" s="40">
        <v>70980</v>
      </c>
      <c r="L22" s="40">
        <v>13163</v>
      </c>
      <c r="M22" s="40">
        <v>46502</v>
      </c>
      <c r="N22" s="43">
        <v>3254</v>
      </c>
      <c r="O22" s="40">
        <v>52639</v>
      </c>
      <c r="P22" s="40">
        <v>29153</v>
      </c>
      <c r="Q22" s="40">
        <v>231611</v>
      </c>
      <c r="R22" s="40">
        <v>56367</v>
      </c>
      <c r="S22" s="40">
        <v>2453</v>
      </c>
      <c r="T22" s="40">
        <v>101196</v>
      </c>
      <c r="U22" s="40">
        <v>12283</v>
      </c>
      <c r="V22" s="40">
        <v>1763</v>
      </c>
      <c r="W22" s="40">
        <v>427</v>
      </c>
      <c r="X22" s="40">
        <v>54039</v>
      </c>
      <c r="Y22" s="40">
        <v>3130</v>
      </c>
      <c r="Z22" s="40">
        <v>456</v>
      </c>
      <c r="AA22" s="40">
        <v>1184</v>
      </c>
    </row>
    <row r="23" spans="1:27" ht="16">
      <c r="A23" s="44" t="s">
        <v>124</v>
      </c>
      <c r="B23" s="45" t="s">
        <v>5</v>
      </c>
      <c r="C23" s="46">
        <v>1294122</v>
      </c>
      <c r="D23" s="46">
        <v>1283201</v>
      </c>
      <c r="E23" s="46">
        <v>4424</v>
      </c>
      <c r="F23" s="46">
        <v>2310</v>
      </c>
      <c r="G23" s="46">
        <v>70752</v>
      </c>
      <c r="H23" s="46">
        <v>20915</v>
      </c>
      <c r="I23" s="46">
        <v>359874</v>
      </c>
      <c r="J23" s="46">
        <v>75432</v>
      </c>
      <c r="K23" s="46">
        <v>79039</v>
      </c>
      <c r="L23" s="46">
        <v>11093</v>
      </c>
      <c r="M23" s="46">
        <v>52329</v>
      </c>
      <c r="N23" s="47">
        <v>3984</v>
      </c>
      <c r="O23" s="46">
        <v>58385</v>
      </c>
      <c r="P23" s="46">
        <v>26652</v>
      </c>
      <c r="Q23" s="46">
        <v>227004</v>
      </c>
      <c r="R23" s="46">
        <v>36198</v>
      </c>
      <c r="S23" s="46">
        <v>4843</v>
      </c>
      <c r="T23" s="46">
        <v>115964</v>
      </c>
      <c r="U23" s="46">
        <v>12217</v>
      </c>
      <c r="V23" s="46">
        <v>1953</v>
      </c>
      <c r="W23" s="46">
        <v>294</v>
      </c>
      <c r="X23" s="46">
        <v>107671</v>
      </c>
      <c r="Y23" s="46">
        <v>9983</v>
      </c>
      <c r="Z23" s="46">
        <v>1885</v>
      </c>
      <c r="AA23" s="46">
        <v>10921</v>
      </c>
    </row>
    <row r="24" spans="1:27" ht="16">
      <c r="A24" s="39" t="s">
        <v>124</v>
      </c>
      <c r="B24" s="29" t="s">
        <v>90</v>
      </c>
      <c r="C24" s="40">
        <v>1647370</v>
      </c>
      <c r="D24" s="40">
        <v>1636035</v>
      </c>
      <c r="E24" s="40">
        <v>8952</v>
      </c>
      <c r="F24" s="40">
        <v>4551</v>
      </c>
      <c r="G24" s="40">
        <v>106795</v>
      </c>
      <c r="H24" s="40">
        <v>30510</v>
      </c>
      <c r="I24" s="40">
        <v>410609</v>
      </c>
      <c r="J24" s="40">
        <v>98038</v>
      </c>
      <c r="K24" s="40">
        <v>83639</v>
      </c>
      <c r="L24" s="40">
        <v>12577</v>
      </c>
      <c r="M24" s="40">
        <v>61285</v>
      </c>
      <c r="N24" s="41">
        <v>5437</v>
      </c>
      <c r="O24" s="40">
        <v>76123</v>
      </c>
      <c r="P24" s="40">
        <v>35641</v>
      </c>
      <c r="Q24" s="40">
        <v>291870</v>
      </c>
      <c r="R24" s="40">
        <v>51801</v>
      </c>
      <c r="S24" s="40">
        <v>7394</v>
      </c>
      <c r="T24" s="40">
        <v>155266</v>
      </c>
      <c r="U24" s="40">
        <v>18981</v>
      </c>
      <c r="V24" s="40">
        <v>2775</v>
      </c>
      <c r="W24" s="40">
        <v>712</v>
      </c>
      <c r="X24" s="40">
        <v>152440</v>
      </c>
      <c r="Y24" s="40">
        <v>19250</v>
      </c>
      <c r="Z24" s="40">
        <v>1389</v>
      </c>
      <c r="AA24" s="40">
        <v>11335</v>
      </c>
    </row>
    <row r="25" spans="1:27" ht="16">
      <c r="A25" s="42" t="s">
        <v>96</v>
      </c>
      <c r="B25" s="29" t="s">
        <v>4</v>
      </c>
      <c r="C25" s="40">
        <v>811023</v>
      </c>
      <c r="D25" s="40">
        <v>810290</v>
      </c>
      <c r="E25" s="40">
        <v>6452</v>
      </c>
      <c r="F25" s="40">
        <v>3025</v>
      </c>
      <c r="G25" s="40">
        <v>64021</v>
      </c>
      <c r="H25" s="40">
        <v>16657</v>
      </c>
      <c r="I25" s="40">
        <v>195223</v>
      </c>
      <c r="J25" s="40">
        <v>54649</v>
      </c>
      <c r="K25" s="40">
        <v>42309</v>
      </c>
      <c r="L25" s="40">
        <v>7009</v>
      </c>
      <c r="M25" s="40">
        <v>32408</v>
      </c>
      <c r="N25" s="43">
        <v>2590</v>
      </c>
      <c r="O25" s="40">
        <v>37179</v>
      </c>
      <c r="P25" s="40">
        <v>18866</v>
      </c>
      <c r="Q25" s="40">
        <v>150480</v>
      </c>
      <c r="R25" s="40">
        <v>32326</v>
      </c>
      <c r="S25" s="40">
        <v>2240</v>
      </c>
      <c r="T25" s="40">
        <v>77123</v>
      </c>
      <c r="U25" s="40">
        <v>10063</v>
      </c>
      <c r="V25" s="40">
        <v>1208</v>
      </c>
      <c r="W25" s="40">
        <v>470</v>
      </c>
      <c r="X25" s="40">
        <v>52381</v>
      </c>
      <c r="Y25" s="40">
        <v>3434</v>
      </c>
      <c r="Z25" s="40">
        <v>177</v>
      </c>
      <c r="AA25" s="40">
        <v>733</v>
      </c>
    </row>
    <row r="26" spans="1:27" ht="16">
      <c r="A26" s="44" t="s">
        <v>124</v>
      </c>
      <c r="B26" s="45" t="s">
        <v>5</v>
      </c>
      <c r="C26" s="46">
        <v>836347</v>
      </c>
      <c r="D26" s="46">
        <v>825745</v>
      </c>
      <c r="E26" s="46">
        <v>2500</v>
      </c>
      <c r="F26" s="46">
        <v>1526</v>
      </c>
      <c r="G26" s="46">
        <v>42774</v>
      </c>
      <c r="H26" s="46">
        <v>13853</v>
      </c>
      <c r="I26" s="46">
        <v>215386</v>
      </c>
      <c r="J26" s="46">
        <v>43389</v>
      </c>
      <c r="K26" s="46">
        <v>41330</v>
      </c>
      <c r="L26" s="46">
        <v>5568</v>
      </c>
      <c r="M26" s="46">
        <v>28877</v>
      </c>
      <c r="N26" s="47">
        <v>2847</v>
      </c>
      <c r="O26" s="46">
        <v>38944</v>
      </c>
      <c r="P26" s="46">
        <v>16775</v>
      </c>
      <c r="Q26" s="46">
        <v>141390</v>
      </c>
      <c r="R26" s="46">
        <v>19475</v>
      </c>
      <c r="S26" s="46">
        <v>5154</v>
      </c>
      <c r="T26" s="46">
        <v>78143</v>
      </c>
      <c r="U26" s="46">
        <v>8918</v>
      </c>
      <c r="V26" s="46">
        <v>1567</v>
      </c>
      <c r="W26" s="46">
        <v>242</v>
      </c>
      <c r="X26" s="46">
        <v>100059</v>
      </c>
      <c r="Y26" s="46">
        <v>15816</v>
      </c>
      <c r="Z26" s="46">
        <v>1212</v>
      </c>
      <c r="AA26" s="46">
        <v>10602</v>
      </c>
    </row>
    <row r="27" spans="1:27" ht="16">
      <c r="A27" s="39" t="s">
        <v>124</v>
      </c>
      <c r="B27" s="29" t="s">
        <v>90</v>
      </c>
      <c r="C27" s="40">
        <v>2424297</v>
      </c>
      <c r="D27" s="40">
        <v>2403824</v>
      </c>
      <c r="E27" s="40">
        <v>12428</v>
      </c>
      <c r="F27" s="40">
        <v>6116</v>
      </c>
      <c r="G27" s="40">
        <v>151445</v>
      </c>
      <c r="H27" s="40">
        <v>44086</v>
      </c>
      <c r="I27" s="40">
        <v>597834</v>
      </c>
      <c r="J27" s="40">
        <v>141803</v>
      </c>
      <c r="K27" s="40">
        <v>129040</v>
      </c>
      <c r="L27" s="40">
        <v>20463</v>
      </c>
      <c r="M27" s="40">
        <v>112575</v>
      </c>
      <c r="N27" s="41">
        <v>8811</v>
      </c>
      <c r="O27" s="40">
        <v>97846</v>
      </c>
      <c r="P27" s="40">
        <v>48045</v>
      </c>
      <c r="Q27" s="40">
        <v>500951</v>
      </c>
      <c r="R27" s="40">
        <v>84973</v>
      </c>
      <c r="S27" s="40">
        <v>11282</v>
      </c>
      <c r="T27" s="40">
        <v>204018</v>
      </c>
      <c r="U27" s="40">
        <v>27653</v>
      </c>
      <c r="V27" s="40">
        <v>2330</v>
      </c>
      <c r="W27" s="40">
        <v>601</v>
      </c>
      <c r="X27" s="40">
        <v>174526</v>
      </c>
      <c r="Y27" s="40">
        <v>23761</v>
      </c>
      <c r="Z27" s="40">
        <v>3237</v>
      </c>
      <c r="AA27" s="40">
        <v>20473</v>
      </c>
    </row>
    <row r="28" spans="1:27" ht="16">
      <c r="A28" s="42" t="s">
        <v>97</v>
      </c>
      <c r="B28" s="29" t="s">
        <v>4</v>
      </c>
      <c r="C28" s="40">
        <v>1176726</v>
      </c>
      <c r="D28" s="40">
        <v>1175510</v>
      </c>
      <c r="E28" s="40">
        <v>8612</v>
      </c>
      <c r="F28" s="40">
        <v>4108</v>
      </c>
      <c r="G28" s="40">
        <v>87907</v>
      </c>
      <c r="H28" s="40">
        <v>24296</v>
      </c>
      <c r="I28" s="40">
        <v>283925</v>
      </c>
      <c r="J28" s="40">
        <v>78784</v>
      </c>
      <c r="K28" s="40">
        <v>63839</v>
      </c>
      <c r="L28" s="40">
        <v>12016</v>
      </c>
      <c r="M28" s="40">
        <v>59182</v>
      </c>
      <c r="N28" s="43">
        <v>4292</v>
      </c>
      <c r="O28" s="40">
        <v>45493</v>
      </c>
      <c r="P28" s="40">
        <v>25330</v>
      </c>
      <c r="Q28" s="40">
        <v>252147</v>
      </c>
      <c r="R28" s="40">
        <v>51917</v>
      </c>
      <c r="S28" s="40">
        <v>3265</v>
      </c>
      <c r="T28" s="40">
        <v>93382</v>
      </c>
      <c r="U28" s="40">
        <v>13847</v>
      </c>
      <c r="V28" s="40">
        <v>1036</v>
      </c>
      <c r="W28" s="40">
        <v>360</v>
      </c>
      <c r="X28" s="40">
        <v>56231</v>
      </c>
      <c r="Y28" s="40">
        <v>5064</v>
      </c>
      <c r="Z28" s="40">
        <v>477</v>
      </c>
      <c r="AA28" s="40">
        <v>1216</v>
      </c>
    </row>
    <row r="29" spans="1:27" ht="16">
      <c r="A29" s="44" t="s">
        <v>124</v>
      </c>
      <c r="B29" s="45" t="s">
        <v>5</v>
      </c>
      <c r="C29" s="46">
        <v>1247571</v>
      </c>
      <c r="D29" s="46">
        <v>1228314</v>
      </c>
      <c r="E29" s="46">
        <v>3816</v>
      </c>
      <c r="F29" s="46">
        <v>2008</v>
      </c>
      <c r="G29" s="46">
        <v>63538</v>
      </c>
      <c r="H29" s="46">
        <v>19790</v>
      </c>
      <c r="I29" s="46">
        <v>313909</v>
      </c>
      <c r="J29" s="46">
        <v>63019</v>
      </c>
      <c r="K29" s="46">
        <v>65201</v>
      </c>
      <c r="L29" s="46">
        <v>8447</v>
      </c>
      <c r="M29" s="46">
        <v>53393</v>
      </c>
      <c r="N29" s="47">
        <v>4519</v>
      </c>
      <c r="O29" s="46">
        <v>52353</v>
      </c>
      <c r="P29" s="46">
        <v>22715</v>
      </c>
      <c r="Q29" s="46">
        <v>248804</v>
      </c>
      <c r="R29" s="46">
        <v>33056</v>
      </c>
      <c r="S29" s="46">
        <v>8017</v>
      </c>
      <c r="T29" s="46">
        <v>110636</v>
      </c>
      <c r="U29" s="46">
        <v>13806</v>
      </c>
      <c r="V29" s="46">
        <v>1294</v>
      </c>
      <c r="W29" s="46">
        <v>241</v>
      </c>
      <c r="X29" s="46">
        <v>118295</v>
      </c>
      <c r="Y29" s="46">
        <v>18697</v>
      </c>
      <c r="Z29" s="46">
        <v>2760</v>
      </c>
      <c r="AA29" s="46">
        <v>19257</v>
      </c>
    </row>
    <row r="30" spans="1:27" ht="16">
      <c r="A30" s="39" t="s">
        <v>124</v>
      </c>
      <c r="B30" s="29" t="s">
        <v>90</v>
      </c>
      <c r="C30" s="40">
        <v>400126</v>
      </c>
      <c r="D30" s="40">
        <v>396960</v>
      </c>
      <c r="E30" s="40">
        <v>1241</v>
      </c>
      <c r="F30" s="40">
        <v>737</v>
      </c>
      <c r="G30" s="40">
        <v>19100</v>
      </c>
      <c r="H30" s="40">
        <v>6211</v>
      </c>
      <c r="I30" s="40">
        <v>84026</v>
      </c>
      <c r="J30" s="40">
        <v>22312</v>
      </c>
      <c r="K30" s="40">
        <v>23758</v>
      </c>
      <c r="L30" s="40">
        <v>4354</v>
      </c>
      <c r="M30" s="40">
        <v>14110</v>
      </c>
      <c r="N30" s="41">
        <v>1377</v>
      </c>
      <c r="O30" s="40">
        <v>16392</v>
      </c>
      <c r="P30" s="40">
        <v>9444</v>
      </c>
      <c r="Q30" s="40">
        <v>66817</v>
      </c>
      <c r="R30" s="40">
        <v>18201</v>
      </c>
      <c r="S30" s="40">
        <v>4080</v>
      </c>
      <c r="T30" s="40">
        <v>59012</v>
      </c>
      <c r="U30" s="40">
        <v>5231</v>
      </c>
      <c r="V30" s="40">
        <v>335</v>
      </c>
      <c r="W30" s="40">
        <v>150</v>
      </c>
      <c r="X30" s="40">
        <v>33104</v>
      </c>
      <c r="Y30" s="40">
        <v>5233</v>
      </c>
      <c r="Z30" s="40">
        <v>1735</v>
      </c>
      <c r="AA30" s="40">
        <v>3166</v>
      </c>
    </row>
    <row r="31" spans="1:27" ht="16">
      <c r="A31" s="42" t="s">
        <v>15</v>
      </c>
      <c r="B31" s="29" t="s">
        <v>4</v>
      </c>
      <c r="C31" s="40">
        <v>199513</v>
      </c>
      <c r="D31" s="40">
        <v>199202</v>
      </c>
      <c r="E31" s="40">
        <v>921</v>
      </c>
      <c r="F31" s="40">
        <v>475</v>
      </c>
      <c r="G31" s="40">
        <v>11094</v>
      </c>
      <c r="H31" s="40">
        <v>3462</v>
      </c>
      <c r="I31" s="40">
        <v>39790</v>
      </c>
      <c r="J31" s="40">
        <v>12463</v>
      </c>
      <c r="K31" s="40">
        <v>12120</v>
      </c>
      <c r="L31" s="40">
        <v>2434</v>
      </c>
      <c r="M31" s="40">
        <v>7177</v>
      </c>
      <c r="N31" s="43">
        <v>620</v>
      </c>
      <c r="O31" s="40">
        <v>8353</v>
      </c>
      <c r="P31" s="40">
        <v>5069</v>
      </c>
      <c r="Q31" s="40">
        <v>34090</v>
      </c>
      <c r="R31" s="40">
        <v>11977</v>
      </c>
      <c r="S31" s="40">
        <v>1902</v>
      </c>
      <c r="T31" s="40">
        <v>30683</v>
      </c>
      <c r="U31" s="40">
        <v>2721</v>
      </c>
      <c r="V31" s="40">
        <v>155</v>
      </c>
      <c r="W31" s="40">
        <v>86</v>
      </c>
      <c r="X31" s="40">
        <v>11851</v>
      </c>
      <c r="Y31" s="40">
        <v>1397</v>
      </c>
      <c r="Z31" s="40">
        <v>362</v>
      </c>
      <c r="AA31" s="40">
        <v>311</v>
      </c>
    </row>
    <row r="32" spans="1:27" ht="16">
      <c r="A32" s="44" t="s">
        <v>124</v>
      </c>
      <c r="B32" s="45" t="s">
        <v>5</v>
      </c>
      <c r="C32" s="46">
        <v>200613</v>
      </c>
      <c r="D32" s="46">
        <v>197758</v>
      </c>
      <c r="E32" s="46">
        <v>320</v>
      </c>
      <c r="F32" s="46">
        <v>262</v>
      </c>
      <c r="G32" s="46">
        <v>8006</v>
      </c>
      <c r="H32" s="46">
        <v>2749</v>
      </c>
      <c r="I32" s="46">
        <v>44236</v>
      </c>
      <c r="J32" s="46">
        <v>9849</v>
      </c>
      <c r="K32" s="46">
        <v>11638</v>
      </c>
      <c r="L32" s="46">
        <v>1920</v>
      </c>
      <c r="M32" s="46">
        <v>6933</v>
      </c>
      <c r="N32" s="47">
        <v>757</v>
      </c>
      <c r="O32" s="46">
        <v>8039</v>
      </c>
      <c r="P32" s="46">
        <v>4375</v>
      </c>
      <c r="Q32" s="46">
        <v>32727</v>
      </c>
      <c r="R32" s="46">
        <v>6224</v>
      </c>
      <c r="S32" s="46">
        <v>2178</v>
      </c>
      <c r="T32" s="46">
        <v>28329</v>
      </c>
      <c r="U32" s="46">
        <v>2510</v>
      </c>
      <c r="V32" s="46">
        <v>180</v>
      </c>
      <c r="W32" s="46">
        <v>64</v>
      </c>
      <c r="X32" s="46">
        <v>21253</v>
      </c>
      <c r="Y32" s="46">
        <v>3836</v>
      </c>
      <c r="Z32" s="46">
        <v>1373</v>
      </c>
      <c r="AA32" s="46">
        <v>2855</v>
      </c>
    </row>
    <row r="33" spans="1:27" ht="16">
      <c r="A33" s="39" t="s">
        <v>124</v>
      </c>
      <c r="B33" s="29" t="s">
        <v>90</v>
      </c>
      <c r="C33" s="40">
        <v>508814</v>
      </c>
      <c r="D33" s="40">
        <v>507543</v>
      </c>
      <c r="E33" s="40">
        <v>4044</v>
      </c>
      <c r="F33" s="40">
        <v>1443</v>
      </c>
      <c r="G33" s="40">
        <v>53615</v>
      </c>
      <c r="H33" s="40">
        <v>9351</v>
      </c>
      <c r="I33" s="40">
        <v>134201</v>
      </c>
      <c r="J33" s="40">
        <v>35889</v>
      </c>
      <c r="K33" s="40">
        <v>27943</v>
      </c>
      <c r="L33" s="40">
        <v>3839</v>
      </c>
      <c r="M33" s="40">
        <v>15820</v>
      </c>
      <c r="N33" s="41">
        <v>1492</v>
      </c>
      <c r="O33" s="40">
        <v>26980</v>
      </c>
      <c r="P33" s="40">
        <v>13799</v>
      </c>
      <c r="Q33" s="40">
        <v>76251</v>
      </c>
      <c r="R33" s="40">
        <v>20627</v>
      </c>
      <c r="S33" s="40">
        <v>2154</v>
      </c>
      <c r="T33" s="40">
        <v>39833</v>
      </c>
      <c r="U33" s="40">
        <v>5158</v>
      </c>
      <c r="V33" s="40">
        <v>342</v>
      </c>
      <c r="W33" s="40">
        <v>60</v>
      </c>
      <c r="X33" s="40">
        <v>31201</v>
      </c>
      <c r="Y33" s="40">
        <v>2712</v>
      </c>
      <c r="Z33" s="40">
        <v>789</v>
      </c>
      <c r="AA33" s="40">
        <v>1271</v>
      </c>
    </row>
    <row r="34" spans="1:27" ht="16">
      <c r="A34" s="42" t="s">
        <v>16</v>
      </c>
      <c r="B34" s="29" t="s">
        <v>4</v>
      </c>
      <c r="C34" s="40">
        <v>258108</v>
      </c>
      <c r="D34" s="40">
        <v>257977</v>
      </c>
      <c r="E34" s="40">
        <v>3241</v>
      </c>
      <c r="F34" s="40">
        <v>1051</v>
      </c>
      <c r="G34" s="40">
        <v>34916</v>
      </c>
      <c r="H34" s="40">
        <v>5264</v>
      </c>
      <c r="I34" s="40">
        <v>63124</v>
      </c>
      <c r="J34" s="40">
        <v>20400</v>
      </c>
      <c r="K34" s="40">
        <v>13854</v>
      </c>
      <c r="L34" s="40">
        <v>2301</v>
      </c>
      <c r="M34" s="40">
        <v>8252</v>
      </c>
      <c r="N34" s="43">
        <v>697</v>
      </c>
      <c r="O34" s="40">
        <v>12271</v>
      </c>
      <c r="P34" s="40">
        <v>7487</v>
      </c>
      <c r="Q34" s="40">
        <v>39656</v>
      </c>
      <c r="R34" s="40">
        <v>12879</v>
      </c>
      <c r="S34" s="40">
        <v>747</v>
      </c>
      <c r="T34" s="40">
        <v>18349</v>
      </c>
      <c r="U34" s="40">
        <v>2677</v>
      </c>
      <c r="V34" s="40">
        <v>187</v>
      </c>
      <c r="W34" s="40">
        <v>44</v>
      </c>
      <c r="X34" s="40">
        <v>9900</v>
      </c>
      <c r="Y34" s="40">
        <v>574</v>
      </c>
      <c r="Z34" s="40">
        <v>106</v>
      </c>
      <c r="AA34" s="40">
        <v>131</v>
      </c>
    </row>
    <row r="35" spans="1:27" ht="16">
      <c r="A35" s="44" t="s">
        <v>124</v>
      </c>
      <c r="B35" s="45" t="s">
        <v>5</v>
      </c>
      <c r="C35" s="46">
        <v>250706</v>
      </c>
      <c r="D35" s="46">
        <v>249566</v>
      </c>
      <c r="E35" s="46">
        <v>803</v>
      </c>
      <c r="F35" s="46">
        <v>392</v>
      </c>
      <c r="G35" s="46">
        <v>18699</v>
      </c>
      <c r="H35" s="46">
        <v>4087</v>
      </c>
      <c r="I35" s="46">
        <v>71077</v>
      </c>
      <c r="J35" s="46">
        <v>15489</v>
      </c>
      <c r="K35" s="46">
        <v>14089</v>
      </c>
      <c r="L35" s="46">
        <v>1538</v>
      </c>
      <c r="M35" s="46">
        <v>7568</v>
      </c>
      <c r="N35" s="47">
        <v>795</v>
      </c>
      <c r="O35" s="46">
        <v>14709</v>
      </c>
      <c r="P35" s="46">
        <v>6312</v>
      </c>
      <c r="Q35" s="46">
        <v>36595</v>
      </c>
      <c r="R35" s="46">
        <v>7748</v>
      </c>
      <c r="S35" s="46">
        <v>1407</v>
      </c>
      <c r="T35" s="46">
        <v>21484</v>
      </c>
      <c r="U35" s="46">
        <v>2481</v>
      </c>
      <c r="V35" s="46">
        <v>155</v>
      </c>
      <c r="W35" s="46">
        <v>16</v>
      </c>
      <c r="X35" s="46">
        <v>21301</v>
      </c>
      <c r="Y35" s="46">
        <v>2138</v>
      </c>
      <c r="Z35" s="46">
        <v>683</v>
      </c>
      <c r="AA35" s="46">
        <v>1140</v>
      </c>
    </row>
    <row r="36" spans="1:27" ht="16">
      <c r="A36" s="39" t="s">
        <v>124</v>
      </c>
      <c r="B36" s="29" t="s">
        <v>90</v>
      </c>
      <c r="C36" s="40">
        <v>471316</v>
      </c>
      <c r="D36" s="40">
        <v>469814</v>
      </c>
      <c r="E36" s="40">
        <v>1449</v>
      </c>
      <c r="F36" s="40">
        <v>764</v>
      </c>
      <c r="G36" s="40">
        <v>24024</v>
      </c>
      <c r="H36" s="40">
        <v>6747</v>
      </c>
      <c r="I36" s="40">
        <v>104642</v>
      </c>
      <c r="J36" s="40">
        <v>30016</v>
      </c>
      <c r="K36" s="40">
        <v>26495</v>
      </c>
      <c r="L36" s="40">
        <v>4753</v>
      </c>
      <c r="M36" s="40">
        <v>13334</v>
      </c>
      <c r="N36" s="41">
        <v>1477</v>
      </c>
      <c r="O36" s="40">
        <v>25565</v>
      </c>
      <c r="P36" s="40">
        <v>10926</v>
      </c>
      <c r="Q36" s="40">
        <v>93924</v>
      </c>
      <c r="R36" s="40">
        <v>20206</v>
      </c>
      <c r="S36" s="40">
        <v>2069</v>
      </c>
      <c r="T36" s="40">
        <v>53966</v>
      </c>
      <c r="U36" s="40">
        <v>4526</v>
      </c>
      <c r="V36" s="40">
        <v>343</v>
      </c>
      <c r="W36" s="40">
        <v>97</v>
      </c>
      <c r="X36" s="40">
        <v>39416</v>
      </c>
      <c r="Y36" s="40">
        <v>4248</v>
      </c>
      <c r="Z36" s="40">
        <v>827</v>
      </c>
      <c r="AA36" s="40">
        <v>1502</v>
      </c>
    </row>
    <row r="37" spans="1:27" ht="16">
      <c r="A37" s="42" t="s">
        <v>17</v>
      </c>
      <c r="B37" s="29" t="s">
        <v>4</v>
      </c>
      <c r="C37" s="40">
        <v>241912</v>
      </c>
      <c r="D37" s="40">
        <v>241752</v>
      </c>
      <c r="E37" s="40">
        <v>1092</v>
      </c>
      <c r="F37" s="40">
        <v>508</v>
      </c>
      <c r="G37" s="40">
        <v>14903</v>
      </c>
      <c r="H37" s="40">
        <v>3781</v>
      </c>
      <c r="I37" s="40">
        <v>52047</v>
      </c>
      <c r="J37" s="40">
        <v>17025</v>
      </c>
      <c r="K37" s="40">
        <v>14555</v>
      </c>
      <c r="L37" s="40">
        <v>3069</v>
      </c>
      <c r="M37" s="40">
        <v>7043</v>
      </c>
      <c r="N37" s="43">
        <v>675</v>
      </c>
      <c r="O37" s="40">
        <v>12894</v>
      </c>
      <c r="P37" s="40">
        <v>5886</v>
      </c>
      <c r="Q37" s="40">
        <v>52304</v>
      </c>
      <c r="R37" s="40">
        <v>13136</v>
      </c>
      <c r="S37" s="40">
        <v>711</v>
      </c>
      <c r="T37" s="40">
        <v>25432</v>
      </c>
      <c r="U37" s="40">
        <v>2386</v>
      </c>
      <c r="V37" s="40">
        <v>175</v>
      </c>
      <c r="W37" s="40">
        <v>62</v>
      </c>
      <c r="X37" s="40">
        <v>13127</v>
      </c>
      <c r="Y37" s="40">
        <v>824</v>
      </c>
      <c r="Z37" s="40">
        <v>117</v>
      </c>
      <c r="AA37" s="40">
        <v>160</v>
      </c>
    </row>
    <row r="38" spans="1:27" ht="16">
      <c r="A38" s="44" t="s">
        <v>124</v>
      </c>
      <c r="B38" s="45" t="s">
        <v>5</v>
      </c>
      <c r="C38" s="46">
        <v>229404</v>
      </c>
      <c r="D38" s="46">
        <v>228062</v>
      </c>
      <c r="E38" s="46">
        <v>357</v>
      </c>
      <c r="F38" s="46">
        <v>256</v>
      </c>
      <c r="G38" s="46">
        <v>9121</v>
      </c>
      <c r="H38" s="46">
        <v>2966</v>
      </c>
      <c r="I38" s="46">
        <v>52595</v>
      </c>
      <c r="J38" s="46">
        <v>12991</v>
      </c>
      <c r="K38" s="46">
        <v>11940</v>
      </c>
      <c r="L38" s="46">
        <v>1684</v>
      </c>
      <c r="M38" s="46">
        <v>6291</v>
      </c>
      <c r="N38" s="47">
        <v>802</v>
      </c>
      <c r="O38" s="46">
        <v>12671</v>
      </c>
      <c r="P38" s="46">
        <v>5040</v>
      </c>
      <c r="Q38" s="46">
        <v>41620</v>
      </c>
      <c r="R38" s="46">
        <v>7070</v>
      </c>
      <c r="S38" s="46">
        <v>1358</v>
      </c>
      <c r="T38" s="46">
        <v>28534</v>
      </c>
      <c r="U38" s="46">
        <v>2140</v>
      </c>
      <c r="V38" s="46">
        <v>168</v>
      </c>
      <c r="W38" s="46">
        <v>35</v>
      </c>
      <c r="X38" s="46">
        <v>26289</v>
      </c>
      <c r="Y38" s="46">
        <v>3424</v>
      </c>
      <c r="Z38" s="46">
        <v>710</v>
      </c>
      <c r="AA38" s="46">
        <v>1342</v>
      </c>
    </row>
    <row r="39" spans="1:27" ht="16">
      <c r="A39" s="39" t="s">
        <v>124</v>
      </c>
      <c r="B39" s="29" t="s">
        <v>90</v>
      </c>
      <c r="C39" s="40">
        <v>1071963</v>
      </c>
      <c r="D39" s="40">
        <v>1055594</v>
      </c>
      <c r="E39" s="40">
        <v>2506</v>
      </c>
      <c r="F39" s="40">
        <v>1611</v>
      </c>
      <c r="G39" s="40">
        <v>46282</v>
      </c>
      <c r="H39" s="40">
        <v>15934</v>
      </c>
      <c r="I39" s="40">
        <v>231403</v>
      </c>
      <c r="J39" s="40">
        <v>64572</v>
      </c>
      <c r="K39" s="40">
        <v>58694</v>
      </c>
      <c r="L39" s="40">
        <v>9746</v>
      </c>
      <c r="M39" s="40">
        <v>32889</v>
      </c>
      <c r="N39" s="41">
        <v>3113</v>
      </c>
      <c r="O39" s="40">
        <v>40825</v>
      </c>
      <c r="P39" s="40">
        <v>20434</v>
      </c>
      <c r="Q39" s="40">
        <v>210219</v>
      </c>
      <c r="R39" s="40">
        <v>47105</v>
      </c>
      <c r="S39" s="40">
        <v>3481</v>
      </c>
      <c r="T39" s="40">
        <v>128412</v>
      </c>
      <c r="U39" s="40">
        <v>12738</v>
      </c>
      <c r="V39" s="40">
        <v>1657</v>
      </c>
      <c r="W39" s="40">
        <v>437</v>
      </c>
      <c r="X39" s="40">
        <v>108083</v>
      </c>
      <c r="Y39" s="40">
        <v>13188</v>
      </c>
      <c r="Z39" s="40">
        <v>2265</v>
      </c>
      <c r="AA39" s="40">
        <v>16369</v>
      </c>
    </row>
    <row r="40" spans="1:27" ht="16">
      <c r="A40" s="42" t="s">
        <v>18</v>
      </c>
      <c r="B40" s="29" t="s">
        <v>4</v>
      </c>
      <c r="C40" s="40">
        <v>541492</v>
      </c>
      <c r="D40" s="40">
        <v>540412</v>
      </c>
      <c r="E40" s="40">
        <v>1790</v>
      </c>
      <c r="F40" s="40">
        <v>1113</v>
      </c>
      <c r="G40" s="40">
        <v>27411</v>
      </c>
      <c r="H40" s="40">
        <v>8847</v>
      </c>
      <c r="I40" s="40">
        <v>111119</v>
      </c>
      <c r="J40" s="40">
        <v>36276</v>
      </c>
      <c r="K40" s="40">
        <v>30072</v>
      </c>
      <c r="L40" s="40">
        <v>5423</v>
      </c>
      <c r="M40" s="40">
        <v>16951</v>
      </c>
      <c r="N40" s="43">
        <v>1363</v>
      </c>
      <c r="O40" s="40">
        <v>20825</v>
      </c>
      <c r="P40" s="40">
        <v>10871</v>
      </c>
      <c r="Q40" s="40">
        <v>115375</v>
      </c>
      <c r="R40" s="40">
        <v>30344</v>
      </c>
      <c r="S40" s="40">
        <v>1061</v>
      </c>
      <c r="T40" s="40">
        <v>68304</v>
      </c>
      <c r="U40" s="40">
        <v>7132</v>
      </c>
      <c r="V40" s="40">
        <v>786</v>
      </c>
      <c r="W40" s="40">
        <v>295</v>
      </c>
      <c r="X40" s="40">
        <v>41112</v>
      </c>
      <c r="Y40" s="40">
        <v>3383</v>
      </c>
      <c r="Z40" s="40">
        <v>559</v>
      </c>
      <c r="AA40" s="40">
        <v>1080</v>
      </c>
    </row>
    <row r="41" spans="1:27" ht="16">
      <c r="A41" s="44" t="s">
        <v>124</v>
      </c>
      <c r="B41" s="45" t="s">
        <v>5</v>
      </c>
      <c r="C41" s="46">
        <v>530471</v>
      </c>
      <c r="D41" s="46">
        <v>515182</v>
      </c>
      <c r="E41" s="46">
        <v>716</v>
      </c>
      <c r="F41" s="46">
        <v>498</v>
      </c>
      <c r="G41" s="46">
        <v>18871</v>
      </c>
      <c r="H41" s="46">
        <v>7087</v>
      </c>
      <c r="I41" s="46">
        <v>120284</v>
      </c>
      <c r="J41" s="46">
        <v>28296</v>
      </c>
      <c r="K41" s="46">
        <v>28622</v>
      </c>
      <c r="L41" s="46">
        <v>4323</v>
      </c>
      <c r="M41" s="46">
        <v>15938</v>
      </c>
      <c r="N41" s="47">
        <v>1750</v>
      </c>
      <c r="O41" s="46">
        <v>20000</v>
      </c>
      <c r="P41" s="46">
        <v>9563</v>
      </c>
      <c r="Q41" s="46">
        <v>94844</v>
      </c>
      <c r="R41" s="46">
        <v>16761</v>
      </c>
      <c r="S41" s="46">
        <v>2420</v>
      </c>
      <c r="T41" s="46">
        <v>60108</v>
      </c>
      <c r="U41" s="46">
        <v>5606</v>
      </c>
      <c r="V41" s="46">
        <v>871</v>
      </c>
      <c r="W41" s="46">
        <v>142</v>
      </c>
      <c r="X41" s="46">
        <v>66971</v>
      </c>
      <c r="Y41" s="46">
        <v>9805</v>
      </c>
      <c r="Z41" s="46">
        <v>1706</v>
      </c>
      <c r="AA41" s="46">
        <v>15289</v>
      </c>
    </row>
    <row r="42" spans="1:27" ht="16">
      <c r="A42" s="39" t="s">
        <v>124</v>
      </c>
      <c r="B42" s="29" t="s">
        <v>90</v>
      </c>
      <c r="C42" s="40">
        <v>420679</v>
      </c>
      <c r="D42" s="40">
        <v>418396</v>
      </c>
      <c r="E42" s="40">
        <v>1115</v>
      </c>
      <c r="F42" s="40">
        <v>719</v>
      </c>
      <c r="G42" s="40">
        <v>16859</v>
      </c>
      <c r="H42" s="40">
        <v>6034</v>
      </c>
      <c r="I42" s="40">
        <v>79957</v>
      </c>
      <c r="J42" s="40">
        <v>23258</v>
      </c>
      <c r="K42" s="40">
        <v>21028</v>
      </c>
      <c r="L42" s="40">
        <v>4199</v>
      </c>
      <c r="M42" s="40">
        <v>15920</v>
      </c>
      <c r="N42" s="41">
        <v>1480</v>
      </c>
      <c r="O42" s="40">
        <v>26919</v>
      </c>
      <c r="P42" s="40">
        <v>10019</v>
      </c>
      <c r="Q42" s="40">
        <v>76940</v>
      </c>
      <c r="R42" s="40">
        <v>19928</v>
      </c>
      <c r="S42" s="40">
        <v>2038</v>
      </c>
      <c r="T42" s="40">
        <v>57076</v>
      </c>
      <c r="U42" s="40">
        <v>6248</v>
      </c>
      <c r="V42" s="40">
        <v>423</v>
      </c>
      <c r="W42" s="40">
        <v>190</v>
      </c>
      <c r="X42" s="40">
        <v>41133</v>
      </c>
      <c r="Y42" s="40">
        <v>6114</v>
      </c>
      <c r="Z42" s="40">
        <v>799</v>
      </c>
      <c r="AA42" s="40">
        <v>2283</v>
      </c>
    </row>
    <row r="43" spans="1:27" ht="16">
      <c r="A43" s="42" t="s">
        <v>19</v>
      </c>
      <c r="B43" s="29" t="s">
        <v>4</v>
      </c>
      <c r="C43" s="40">
        <v>213020</v>
      </c>
      <c r="D43" s="40">
        <v>212774</v>
      </c>
      <c r="E43" s="40">
        <v>781</v>
      </c>
      <c r="F43" s="40">
        <v>469</v>
      </c>
      <c r="G43" s="40">
        <v>9616</v>
      </c>
      <c r="H43" s="40">
        <v>3237</v>
      </c>
      <c r="I43" s="40">
        <v>38210</v>
      </c>
      <c r="J43" s="40">
        <v>12576</v>
      </c>
      <c r="K43" s="40">
        <v>11453</v>
      </c>
      <c r="L43" s="40">
        <v>2399</v>
      </c>
      <c r="M43" s="40">
        <v>8611</v>
      </c>
      <c r="N43" s="43">
        <v>713</v>
      </c>
      <c r="O43" s="40">
        <v>14438</v>
      </c>
      <c r="P43" s="40">
        <v>5588</v>
      </c>
      <c r="Q43" s="40">
        <v>41366</v>
      </c>
      <c r="R43" s="40">
        <v>12577</v>
      </c>
      <c r="S43" s="40">
        <v>760</v>
      </c>
      <c r="T43" s="40">
        <v>29934</v>
      </c>
      <c r="U43" s="40">
        <v>3361</v>
      </c>
      <c r="V43" s="40">
        <v>183</v>
      </c>
      <c r="W43" s="40">
        <v>118</v>
      </c>
      <c r="X43" s="40">
        <v>14855</v>
      </c>
      <c r="Y43" s="40">
        <v>1427</v>
      </c>
      <c r="Z43" s="40">
        <v>102</v>
      </c>
      <c r="AA43" s="40">
        <v>246</v>
      </c>
    </row>
    <row r="44" spans="1:27" ht="16">
      <c r="A44" s="44" t="s">
        <v>124</v>
      </c>
      <c r="B44" s="45" t="s">
        <v>5</v>
      </c>
      <c r="C44" s="46">
        <v>207659</v>
      </c>
      <c r="D44" s="46">
        <v>205622</v>
      </c>
      <c r="E44" s="46">
        <v>334</v>
      </c>
      <c r="F44" s="46">
        <v>250</v>
      </c>
      <c r="G44" s="46">
        <v>7243</v>
      </c>
      <c r="H44" s="46">
        <v>2797</v>
      </c>
      <c r="I44" s="46">
        <v>41747</v>
      </c>
      <c r="J44" s="46">
        <v>10682</v>
      </c>
      <c r="K44" s="46">
        <v>9575</v>
      </c>
      <c r="L44" s="46">
        <v>1800</v>
      </c>
      <c r="M44" s="46">
        <v>7309</v>
      </c>
      <c r="N44" s="47">
        <v>767</v>
      </c>
      <c r="O44" s="46">
        <v>12481</v>
      </c>
      <c r="P44" s="46">
        <v>4431</v>
      </c>
      <c r="Q44" s="46">
        <v>35574</v>
      </c>
      <c r="R44" s="46">
        <v>7351</v>
      </c>
      <c r="S44" s="46">
        <v>1278</v>
      </c>
      <c r="T44" s="46">
        <v>27142</v>
      </c>
      <c r="U44" s="46">
        <v>2887</v>
      </c>
      <c r="V44" s="46">
        <v>240</v>
      </c>
      <c r="W44" s="46">
        <v>72</v>
      </c>
      <c r="X44" s="46">
        <v>26278</v>
      </c>
      <c r="Y44" s="46">
        <v>4687</v>
      </c>
      <c r="Z44" s="46">
        <v>697</v>
      </c>
      <c r="AA44" s="46">
        <v>2037</v>
      </c>
    </row>
    <row r="45" spans="1:27" ht="16">
      <c r="A45" s="39" t="s">
        <v>124</v>
      </c>
      <c r="B45" s="29" t="s">
        <v>90</v>
      </c>
      <c r="C45" s="40">
        <v>582489</v>
      </c>
      <c r="D45" s="40">
        <v>572992</v>
      </c>
      <c r="E45" s="40">
        <v>1269</v>
      </c>
      <c r="F45" s="40">
        <v>884</v>
      </c>
      <c r="G45" s="40">
        <v>22584</v>
      </c>
      <c r="H45" s="40">
        <v>8215</v>
      </c>
      <c r="I45" s="40">
        <v>111213</v>
      </c>
      <c r="J45" s="40">
        <v>32470</v>
      </c>
      <c r="K45" s="40">
        <v>26720</v>
      </c>
      <c r="L45" s="40">
        <v>5396</v>
      </c>
      <c r="M45" s="40">
        <v>17241</v>
      </c>
      <c r="N45" s="41">
        <v>2068</v>
      </c>
      <c r="O45" s="40">
        <v>28432</v>
      </c>
      <c r="P45" s="40">
        <v>12730</v>
      </c>
      <c r="Q45" s="40">
        <v>105550</v>
      </c>
      <c r="R45" s="40">
        <v>25589</v>
      </c>
      <c r="S45" s="40">
        <v>2612</v>
      </c>
      <c r="T45" s="40">
        <v>77887</v>
      </c>
      <c r="U45" s="40">
        <v>10580</v>
      </c>
      <c r="V45" s="40">
        <v>1017</v>
      </c>
      <c r="W45" s="40">
        <v>299</v>
      </c>
      <c r="X45" s="40">
        <v>66645</v>
      </c>
      <c r="Y45" s="40">
        <v>12298</v>
      </c>
      <c r="Z45" s="40">
        <v>1293</v>
      </c>
      <c r="AA45" s="40">
        <v>9497</v>
      </c>
    </row>
    <row r="46" spans="1:27" ht="16">
      <c r="A46" s="42" t="s">
        <v>20</v>
      </c>
      <c r="B46" s="29" t="s">
        <v>4</v>
      </c>
      <c r="C46" s="40">
        <v>298935</v>
      </c>
      <c r="D46" s="40">
        <v>298317</v>
      </c>
      <c r="E46" s="40">
        <v>924</v>
      </c>
      <c r="F46" s="40">
        <v>613</v>
      </c>
      <c r="G46" s="40">
        <v>12963</v>
      </c>
      <c r="H46" s="40">
        <v>4573</v>
      </c>
      <c r="I46" s="40">
        <v>53381</v>
      </c>
      <c r="J46" s="40">
        <v>18233</v>
      </c>
      <c r="K46" s="40">
        <v>14283</v>
      </c>
      <c r="L46" s="40">
        <v>3289</v>
      </c>
      <c r="M46" s="40">
        <v>9370</v>
      </c>
      <c r="N46" s="43">
        <v>930</v>
      </c>
      <c r="O46" s="40">
        <v>15516</v>
      </c>
      <c r="P46" s="40">
        <v>7184</v>
      </c>
      <c r="Q46" s="40">
        <v>58782</v>
      </c>
      <c r="R46" s="40">
        <v>16729</v>
      </c>
      <c r="S46" s="40">
        <v>719</v>
      </c>
      <c r="T46" s="40">
        <v>44696</v>
      </c>
      <c r="U46" s="40">
        <v>5867</v>
      </c>
      <c r="V46" s="40">
        <v>600</v>
      </c>
      <c r="W46" s="40">
        <v>240</v>
      </c>
      <c r="X46" s="40">
        <v>26272</v>
      </c>
      <c r="Y46" s="40">
        <v>3021</v>
      </c>
      <c r="Z46" s="40">
        <v>132</v>
      </c>
      <c r="AA46" s="40">
        <v>618</v>
      </c>
    </row>
    <row r="47" spans="1:27" ht="16">
      <c r="A47" s="44" t="s">
        <v>124</v>
      </c>
      <c r="B47" s="45" t="s">
        <v>5</v>
      </c>
      <c r="C47" s="46">
        <v>283554</v>
      </c>
      <c r="D47" s="46">
        <v>274675</v>
      </c>
      <c r="E47" s="46">
        <v>345</v>
      </c>
      <c r="F47" s="46">
        <v>271</v>
      </c>
      <c r="G47" s="46">
        <v>9621</v>
      </c>
      <c r="H47" s="46">
        <v>3642</v>
      </c>
      <c r="I47" s="46">
        <v>57832</v>
      </c>
      <c r="J47" s="46">
        <v>14237</v>
      </c>
      <c r="K47" s="46">
        <v>12437</v>
      </c>
      <c r="L47" s="46">
        <v>2107</v>
      </c>
      <c r="M47" s="46">
        <v>7871</v>
      </c>
      <c r="N47" s="47">
        <v>1138</v>
      </c>
      <c r="O47" s="46">
        <v>12916</v>
      </c>
      <c r="P47" s="46">
        <v>5546</v>
      </c>
      <c r="Q47" s="46">
        <v>46768</v>
      </c>
      <c r="R47" s="46">
        <v>8860</v>
      </c>
      <c r="S47" s="46">
        <v>1893</v>
      </c>
      <c r="T47" s="46">
        <v>33191</v>
      </c>
      <c r="U47" s="46">
        <v>4713</v>
      </c>
      <c r="V47" s="46">
        <v>417</v>
      </c>
      <c r="W47" s="46">
        <v>59</v>
      </c>
      <c r="X47" s="46">
        <v>40373</v>
      </c>
      <c r="Y47" s="46">
        <v>9277</v>
      </c>
      <c r="Z47" s="46">
        <v>1161</v>
      </c>
      <c r="AA47" s="46">
        <v>8879</v>
      </c>
    </row>
    <row r="48" spans="1:27" ht="16">
      <c r="A48" s="39" t="s">
        <v>124</v>
      </c>
      <c r="B48" s="29" t="s">
        <v>90</v>
      </c>
      <c r="C48" s="40">
        <v>434075</v>
      </c>
      <c r="D48" s="40">
        <v>427694</v>
      </c>
      <c r="E48" s="40">
        <v>1003</v>
      </c>
      <c r="F48" s="40">
        <v>592</v>
      </c>
      <c r="G48" s="40">
        <v>14687</v>
      </c>
      <c r="H48" s="40">
        <v>5489</v>
      </c>
      <c r="I48" s="40">
        <v>77677</v>
      </c>
      <c r="J48" s="40">
        <v>22974</v>
      </c>
      <c r="K48" s="40">
        <v>20091</v>
      </c>
      <c r="L48" s="40">
        <v>3731</v>
      </c>
      <c r="M48" s="40">
        <v>13003</v>
      </c>
      <c r="N48" s="41">
        <v>1369</v>
      </c>
      <c r="O48" s="40">
        <v>22293</v>
      </c>
      <c r="P48" s="40">
        <v>8164</v>
      </c>
      <c r="Q48" s="40">
        <v>84463</v>
      </c>
      <c r="R48" s="40">
        <v>18234</v>
      </c>
      <c r="S48" s="40">
        <v>1408</v>
      </c>
      <c r="T48" s="40">
        <v>60514</v>
      </c>
      <c r="U48" s="40">
        <v>6694</v>
      </c>
      <c r="V48" s="40">
        <v>754</v>
      </c>
      <c r="W48" s="40">
        <v>158</v>
      </c>
      <c r="X48" s="40">
        <v>54058</v>
      </c>
      <c r="Y48" s="40">
        <v>9592</v>
      </c>
      <c r="Z48" s="40">
        <v>746</v>
      </c>
      <c r="AA48" s="40">
        <v>6381</v>
      </c>
    </row>
    <row r="49" spans="1:27" ht="16">
      <c r="A49" s="42" t="s">
        <v>21</v>
      </c>
      <c r="B49" s="29" t="s">
        <v>4</v>
      </c>
      <c r="C49" s="40">
        <v>224390</v>
      </c>
      <c r="D49" s="40">
        <v>223990</v>
      </c>
      <c r="E49" s="40">
        <v>709</v>
      </c>
      <c r="F49" s="40">
        <v>398</v>
      </c>
      <c r="G49" s="40">
        <v>8554</v>
      </c>
      <c r="H49" s="40">
        <v>3021</v>
      </c>
      <c r="I49" s="40">
        <v>37782</v>
      </c>
      <c r="J49" s="40">
        <v>12879</v>
      </c>
      <c r="K49" s="40">
        <v>11270</v>
      </c>
      <c r="L49" s="40">
        <v>2339</v>
      </c>
      <c r="M49" s="40">
        <v>7375</v>
      </c>
      <c r="N49" s="43">
        <v>600</v>
      </c>
      <c r="O49" s="40">
        <v>12204</v>
      </c>
      <c r="P49" s="40">
        <v>4556</v>
      </c>
      <c r="Q49" s="40">
        <v>48064</v>
      </c>
      <c r="R49" s="40">
        <v>11862</v>
      </c>
      <c r="S49" s="40">
        <v>379</v>
      </c>
      <c r="T49" s="40">
        <v>34315</v>
      </c>
      <c r="U49" s="40">
        <v>3889</v>
      </c>
      <c r="V49" s="40">
        <v>514</v>
      </c>
      <c r="W49" s="40">
        <v>131</v>
      </c>
      <c r="X49" s="40">
        <v>21064</v>
      </c>
      <c r="Y49" s="40">
        <v>2013</v>
      </c>
      <c r="Z49" s="40">
        <v>72</v>
      </c>
      <c r="AA49" s="40">
        <v>400</v>
      </c>
    </row>
    <row r="50" spans="1:27" ht="16">
      <c r="A50" s="44" t="s">
        <v>124</v>
      </c>
      <c r="B50" s="45" t="s">
        <v>5</v>
      </c>
      <c r="C50" s="46">
        <v>209685</v>
      </c>
      <c r="D50" s="46">
        <v>203704</v>
      </c>
      <c r="E50" s="46">
        <v>294</v>
      </c>
      <c r="F50" s="46">
        <v>194</v>
      </c>
      <c r="G50" s="46">
        <v>6133</v>
      </c>
      <c r="H50" s="46">
        <v>2468</v>
      </c>
      <c r="I50" s="46">
        <v>39895</v>
      </c>
      <c r="J50" s="46">
        <v>10095</v>
      </c>
      <c r="K50" s="46">
        <v>8821</v>
      </c>
      <c r="L50" s="46">
        <v>1392</v>
      </c>
      <c r="M50" s="46">
        <v>5628</v>
      </c>
      <c r="N50" s="47">
        <v>769</v>
      </c>
      <c r="O50" s="46">
        <v>10089</v>
      </c>
      <c r="P50" s="46">
        <v>3608</v>
      </c>
      <c r="Q50" s="46">
        <v>36399</v>
      </c>
      <c r="R50" s="46">
        <v>6372</v>
      </c>
      <c r="S50" s="46">
        <v>1029</v>
      </c>
      <c r="T50" s="46">
        <v>26199</v>
      </c>
      <c r="U50" s="46">
        <v>2805</v>
      </c>
      <c r="V50" s="46">
        <v>240</v>
      </c>
      <c r="W50" s="46">
        <v>27</v>
      </c>
      <c r="X50" s="46">
        <v>32994</v>
      </c>
      <c r="Y50" s="46">
        <v>7579</v>
      </c>
      <c r="Z50" s="46">
        <v>674</v>
      </c>
      <c r="AA50" s="46">
        <v>5981</v>
      </c>
    </row>
    <row r="51" spans="1:27" ht="16">
      <c r="A51" s="39" t="s">
        <v>124</v>
      </c>
      <c r="B51" s="29" t="s">
        <v>90</v>
      </c>
      <c r="C51" s="40">
        <v>704129</v>
      </c>
      <c r="D51" s="40">
        <v>696211</v>
      </c>
      <c r="E51" s="40">
        <v>1896</v>
      </c>
      <c r="F51" s="40">
        <v>1054</v>
      </c>
      <c r="G51" s="40">
        <v>25946</v>
      </c>
      <c r="H51" s="40">
        <v>10107</v>
      </c>
      <c r="I51" s="40">
        <v>133526</v>
      </c>
      <c r="J51" s="40">
        <v>37714</v>
      </c>
      <c r="K51" s="40">
        <v>35699</v>
      </c>
      <c r="L51" s="40">
        <v>6787</v>
      </c>
      <c r="M51" s="40">
        <v>25807</v>
      </c>
      <c r="N51" s="41">
        <v>2982</v>
      </c>
      <c r="O51" s="40">
        <v>37122</v>
      </c>
      <c r="P51" s="40">
        <v>14510</v>
      </c>
      <c r="Q51" s="40">
        <v>158693</v>
      </c>
      <c r="R51" s="40">
        <v>32794</v>
      </c>
      <c r="S51" s="40">
        <v>4901</v>
      </c>
      <c r="T51" s="40">
        <v>78198</v>
      </c>
      <c r="U51" s="40">
        <v>10024</v>
      </c>
      <c r="V51" s="40">
        <v>661</v>
      </c>
      <c r="W51" s="40">
        <v>202</v>
      </c>
      <c r="X51" s="40">
        <v>66580</v>
      </c>
      <c r="Y51" s="40">
        <v>9825</v>
      </c>
      <c r="Z51" s="40">
        <v>1183</v>
      </c>
      <c r="AA51" s="40">
        <v>7918</v>
      </c>
    </row>
    <row r="52" spans="1:27" ht="16">
      <c r="A52" s="42" t="s">
        <v>22</v>
      </c>
      <c r="B52" s="29" t="s">
        <v>4</v>
      </c>
      <c r="C52" s="40">
        <v>354627</v>
      </c>
      <c r="D52" s="40">
        <v>354037</v>
      </c>
      <c r="E52" s="40">
        <v>1323</v>
      </c>
      <c r="F52" s="40">
        <v>704</v>
      </c>
      <c r="G52" s="40">
        <v>14643</v>
      </c>
      <c r="H52" s="40">
        <v>5310</v>
      </c>
      <c r="I52" s="40">
        <v>62575</v>
      </c>
      <c r="J52" s="40">
        <v>20716</v>
      </c>
      <c r="K52" s="40">
        <v>20033</v>
      </c>
      <c r="L52" s="40">
        <v>4238</v>
      </c>
      <c r="M52" s="40">
        <v>12858</v>
      </c>
      <c r="N52" s="43">
        <v>1248</v>
      </c>
      <c r="O52" s="40">
        <v>19341</v>
      </c>
      <c r="P52" s="40">
        <v>7924</v>
      </c>
      <c r="Q52" s="40">
        <v>87273</v>
      </c>
      <c r="R52" s="40">
        <v>21570</v>
      </c>
      <c r="S52" s="40">
        <v>1369</v>
      </c>
      <c r="T52" s="40">
        <v>39615</v>
      </c>
      <c r="U52" s="40">
        <v>5429</v>
      </c>
      <c r="V52" s="40">
        <v>300</v>
      </c>
      <c r="W52" s="40">
        <v>131</v>
      </c>
      <c r="X52" s="40">
        <v>24896</v>
      </c>
      <c r="Y52" s="40">
        <v>2333</v>
      </c>
      <c r="Z52" s="40">
        <v>208</v>
      </c>
      <c r="AA52" s="40">
        <v>590</v>
      </c>
    </row>
    <row r="53" spans="1:27" ht="16">
      <c r="A53" s="44" t="s">
        <v>124</v>
      </c>
      <c r="B53" s="45" t="s">
        <v>5</v>
      </c>
      <c r="C53" s="46">
        <v>349502</v>
      </c>
      <c r="D53" s="46">
        <v>342174</v>
      </c>
      <c r="E53" s="46">
        <v>573</v>
      </c>
      <c r="F53" s="46">
        <v>350</v>
      </c>
      <c r="G53" s="46">
        <v>11303</v>
      </c>
      <c r="H53" s="46">
        <v>4797</v>
      </c>
      <c r="I53" s="46">
        <v>70951</v>
      </c>
      <c r="J53" s="46">
        <v>16998</v>
      </c>
      <c r="K53" s="46">
        <v>15666</v>
      </c>
      <c r="L53" s="46">
        <v>2549</v>
      </c>
      <c r="M53" s="46">
        <v>12949</v>
      </c>
      <c r="N53" s="47">
        <v>1734</v>
      </c>
      <c r="O53" s="46">
        <v>17781</v>
      </c>
      <c r="P53" s="46">
        <v>6586</v>
      </c>
      <c r="Q53" s="46">
        <v>71420</v>
      </c>
      <c r="R53" s="46">
        <v>11224</v>
      </c>
      <c r="S53" s="46">
        <v>3532</v>
      </c>
      <c r="T53" s="46">
        <v>38583</v>
      </c>
      <c r="U53" s="46">
        <v>4595</v>
      </c>
      <c r="V53" s="46">
        <v>361</v>
      </c>
      <c r="W53" s="46">
        <v>71</v>
      </c>
      <c r="X53" s="46">
        <v>41684</v>
      </c>
      <c r="Y53" s="46">
        <v>7492</v>
      </c>
      <c r="Z53" s="46">
        <v>975</v>
      </c>
      <c r="AA53" s="46">
        <v>7328</v>
      </c>
    </row>
    <row r="54" spans="1:27" ht="16">
      <c r="A54" s="39" t="s">
        <v>124</v>
      </c>
      <c r="B54" s="29" t="s">
        <v>90</v>
      </c>
      <c r="C54" s="40">
        <v>185931</v>
      </c>
      <c r="D54" s="40">
        <v>184587</v>
      </c>
      <c r="E54" s="40">
        <v>420</v>
      </c>
      <c r="F54" s="40">
        <v>285</v>
      </c>
      <c r="G54" s="40">
        <v>6459</v>
      </c>
      <c r="H54" s="40">
        <v>2805</v>
      </c>
      <c r="I54" s="40">
        <v>30523</v>
      </c>
      <c r="J54" s="40">
        <v>11306</v>
      </c>
      <c r="K54" s="40">
        <v>8319</v>
      </c>
      <c r="L54" s="40">
        <v>3483</v>
      </c>
      <c r="M54" s="40">
        <v>5101</v>
      </c>
      <c r="N54" s="41">
        <v>734</v>
      </c>
      <c r="O54" s="40">
        <v>9967</v>
      </c>
      <c r="P54" s="40">
        <v>4784</v>
      </c>
      <c r="Q54" s="40">
        <v>35159</v>
      </c>
      <c r="R54" s="40">
        <v>11966</v>
      </c>
      <c r="S54" s="40">
        <v>1527</v>
      </c>
      <c r="T54" s="40">
        <v>21673</v>
      </c>
      <c r="U54" s="40">
        <v>4955</v>
      </c>
      <c r="V54" s="40">
        <v>190</v>
      </c>
      <c r="W54" s="40">
        <v>56</v>
      </c>
      <c r="X54" s="40">
        <v>20614</v>
      </c>
      <c r="Y54" s="40">
        <v>4005</v>
      </c>
      <c r="Z54" s="40">
        <v>256</v>
      </c>
      <c r="AA54" s="40">
        <v>1344</v>
      </c>
    </row>
    <row r="55" spans="1:27" ht="16">
      <c r="A55" s="42" t="s">
        <v>23</v>
      </c>
      <c r="B55" s="29" t="s">
        <v>4</v>
      </c>
      <c r="C55" s="40">
        <v>94203</v>
      </c>
      <c r="D55" s="40">
        <v>94046</v>
      </c>
      <c r="E55" s="40">
        <v>281</v>
      </c>
      <c r="F55" s="40">
        <v>167</v>
      </c>
      <c r="G55" s="40">
        <v>3348</v>
      </c>
      <c r="H55" s="40">
        <v>1392</v>
      </c>
      <c r="I55" s="40">
        <v>13795</v>
      </c>
      <c r="J55" s="40">
        <v>5969</v>
      </c>
      <c r="K55" s="40">
        <v>4525</v>
      </c>
      <c r="L55" s="40">
        <v>1960</v>
      </c>
      <c r="M55" s="40">
        <v>2391</v>
      </c>
      <c r="N55" s="43">
        <v>280</v>
      </c>
      <c r="O55" s="40">
        <v>5696</v>
      </c>
      <c r="P55" s="40">
        <v>2811</v>
      </c>
      <c r="Q55" s="40">
        <v>19726</v>
      </c>
      <c r="R55" s="40">
        <v>7827</v>
      </c>
      <c r="S55" s="40">
        <v>377</v>
      </c>
      <c r="T55" s="40">
        <v>11615</v>
      </c>
      <c r="U55" s="40">
        <v>2950</v>
      </c>
      <c r="V55" s="40">
        <v>118</v>
      </c>
      <c r="W55" s="40">
        <v>45</v>
      </c>
      <c r="X55" s="40">
        <v>7494</v>
      </c>
      <c r="Y55" s="40">
        <v>1225</v>
      </c>
      <c r="Z55" s="40">
        <v>54</v>
      </c>
      <c r="AA55" s="40">
        <v>157</v>
      </c>
    </row>
    <row r="56" spans="1:27" ht="16">
      <c r="A56" s="44" t="s">
        <v>124</v>
      </c>
      <c r="B56" s="45" t="s">
        <v>5</v>
      </c>
      <c r="C56" s="46">
        <v>91728</v>
      </c>
      <c r="D56" s="46">
        <v>90541</v>
      </c>
      <c r="E56" s="46">
        <v>139</v>
      </c>
      <c r="F56" s="46">
        <v>118</v>
      </c>
      <c r="G56" s="46">
        <v>3111</v>
      </c>
      <c r="H56" s="46">
        <v>1413</v>
      </c>
      <c r="I56" s="46">
        <v>16728</v>
      </c>
      <c r="J56" s="46">
        <v>5337</v>
      </c>
      <c r="K56" s="46">
        <v>3794</v>
      </c>
      <c r="L56" s="46">
        <v>1523</v>
      </c>
      <c r="M56" s="46">
        <v>2710</v>
      </c>
      <c r="N56" s="47">
        <v>454</v>
      </c>
      <c r="O56" s="46">
        <v>4271</v>
      </c>
      <c r="P56" s="46">
        <v>1973</v>
      </c>
      <c r="Q56" s="46">
        <v>15433</v>
      </c>
      <c r="R56" s="46">
        <v>4139</v>
      </c>
      <c r="S56" s="46">
        <v>1150</v>
      </c>
      <c r="T56" s="46">
        <v>10058</v>
      </c>
      <c r="U56" s="46">
        <v>2005</v>
      </c>
      <c r="V56" s="46">
        <v>72</v>
      </c>
      <c r="W56" s="46">
        <v>11</v>
      </c>
      <c r="X56" s="46">
        <v>13120</v>
      </c>
      <c r="Y56" s="46">
        <v>2780</v>
      </c>
      <c r="Z56" s="46">
        <v>202</v>
      </c>
      <c r="AA56" s="46">
        <v>1187</v>
      </c>
    </row>
    <row r="57" spans="1:27" ht="16">
      <c r="A57" s="39" t="s">
        <v>124</v>
      </c>
      <c r="B57" s="29" t="s">
        <v>90</v>
      </c>
      <c r="C57" s="40">
        <v>279245</v>
      </c>
      <c r="D57" s="40">
        <v>278226</v>
      </c>
      <c r="E57" s="40">
        <v>1200</v>
      </c>
      <c r="F57" s="40">
        <v>621</v>
      </c>
      <c r="G57" s="40">
        <v>11562</v>
      </c>
      <c r="H57" s="40">
        <v>4719</v>
      </c>
      <c r="I57" s="40">
        <v>53581</v>
      </c>
      <c r="J57" s="40">
        <v>18010</v>
      </c>
      <c r="K57" s="40">
        <v>17225</v>
      </c>
      <c r="L57" s="40">
        <v>4496</v>
      </c>
      <c r="M57" s="40">
        <v>8382</v>
      </c>
      <c r="N57" s="41">
        <v>1161</v>
      </c>
      <c r="O57" s="40">
        <v>18299</v>
      </c>
      <c r="P57" s="40">
        <v>8457</v>
      </c>
      <c r="Q57" s="40">
        <v>53046</v>
      </c>
      <c r="R57" s="40">
        <v>14283</v>
      </c>
      <c r="S57" s="40">
        <v>1238</v>
      </c>
      <c r="T57" s="40">
        <v>28300</v>
      </c>
      <c r="U57" s="40">
        <v>4964</v>
      </c>
      <c r="V57" s="40">
        <v>365</v>
      </c>
      <c r="W57" s="40">
        <v>144</v>
      </c>
      <c r="X57" s="40">
        <v>24561</v>
      </c>
      <c r="Y57" s="40">
        <v>3376</v>
      </c>
      <c r="Z57" s="40">
        <v>236</v>
      </c>
      <c r="AA57" s="40">
        <v>1019</v>
      </c>
    </row>
    <row r="58" spans="1:27" ht="16">
      <c r="A58" s="42" t="s">
        <v>24</v>
      </c>
      <c r="B58" s="29" t="s">
        <v>4</v>
      </c>
      <c r="C58" s="40">
        <v>139078</v>
      </c>
      <c r="D58" s="40">
        <v>138957</v>
      </c>
      <c r="E58" s="40">
        <v>767</v>
      </c>
      <c r="F58" s="40">
        <v>373</v>
      </c>
      <c r="G58" s="40">
        <v>5964</v>
      </c>
      <c r="H58" s="40">
        <v>2417</v>
      </c>
      <c r="I58" s="40">
        <v>24919</v>
      </c>
      <c r="J58" s="40">
        <v>9861</v>
      </c>
      <c r="K58" s="40">
        <v>9213</v>
      </c>
      <c r="L58" s="40">
        <v>2510</v>
      </c>
      <c r="M58" s="40">
        <v>3970</v>
      </c>
      <c r="N58" s="43">
        <v>493</v>
      </c>
      <c r="O58" s="40">
        <v>9585</v>
      </c>
      <c r="P58" s="40">
        <v>4739</v>
      </c>
      <c r="Q58" s="40">
        <v>29072</v>
      </c>
      <c r="R58" s="40">
        <v>8832</v>
      </c>
      <c r="S58" s="40">
        <v>258</v>
      </c>
      <c r="T58" s="40">
        <v>13834</v>
      </c>
      <c r="U58" s="40">
        <v>2761</v>
      </c>
      <c r="V58" s="40">
        <v>165</v>
      </c>
      <c r="W58" s="40">
        <v>92</v>
      </c>
      <c r="X58" s="40">
        <v>8219</v>
      </c>
      <c r="Y58" s="40">
        <v>862</v>
      </c>
      <c r="Z58" s="40">
        <v>51</v>
      </c>
      <c r="AA58" s="40">
        <v>121</v>
      </c>
    </row>
    <row r="59" spans="1:27" ht="16">
      <c r="A59" s="44" t="s">
        <v>124</v>
      </c>
      <c r="B59" s="45" t="s">
        <v>5</v>
      </c>
      <c r="C59" s="46">
        <v>140167</v>
      </c>
      <c r="D59" s="46">
        <v>139269</v>
      </c>
      <c r="E59" s="46">
        <v>433</v>
      </c>
      <c r="F59" s="46">
        <v>248</v>
      </c>
      <c r="G59" s="46">
        <v>5598</v>
      </c>
      <c r="H59" s="46">
        <v>2302</v>
      </c>
      <c r="I59" s="46">
        <v>28662</v>
      </c>
      <c r="J59" s="46">
        <v>8149</v>
      </c>
      <c r="K59" s="46">
        <v>8012</v>
      </c>
      <c r="L59" s="46">
        <v>1986</v>
      </c>
      <c r="M59" s="46">
        <v>4412</v>
      </c>
      <c r="N59" s="47">
        <v>668</v>
      </c>
      <c r="O59" s="46">
        <v>8714</v>
      </c>
      <c r="P59" s="46">
        <v>3718</v>
      </c>
      <c r="Q59" s="46">
        <v>23974</v>
      </c>
      <c r="R59" s="46">
        <v>5451</v>
      </c>
      <c r="S59" s="46">
        <v>980</v>
      </c>
      <c r="T59" s="46">
        <v>14466</v>
      </c>
      <c r="U59" s="46">
        <v>2203</v>
      </c>
      <c r="V59" s="46">
        <v>200</v>
      </c>
      <c r="W59" s="46">
        <v>52</v>
      </c>
      <c r="X59" s="46">
        <v>16342</v>
      </c>
      <c r="Y59" s="46">
        <v>2514</v>
      </c>
      <c r="Z59" s="46">
        <v>185</v>
      </c>
      <c r="AA59" s="46">
        <v>898</v>
      </c>
    </row>
    <row r="60" spans="1:27" ht="16">
      <c r="A60" s="39" t="s">
        <v>124</v>
      </c>
      <c r="B60" s="29" t="s">
        <v>90</v>
      </c>
      <c r="C60" s="40">
        <v>96683</v>
      </c>
      <c r="D60" s="40">
        <v>95998</v>
      </c>
      <c r="E60" s="40">
        <v>338</v>
      </c>
      <c r="F60" s="40">
        <v>164</v>
      </c>
      <c r="G60" s="40">
        <v>4323</v>
      </c>
      <c r="H60" s="40">
        <v>1491</v>
      </c>
      <c r="I60" s="40">
        <v>20232</v>
      </c>
      <c r="J60" s="40">
        <v>6482</v>
      </c>
      <c r="K60" s="40">
        <v>5381</v>
      </c>
      <c r="L60" s="40">
        <v>1010</v>
      </c>
      <c r="M60" s="40">
        <v>1802</v>
      </c>
      <c r="N60" s="41">
        <v>230</v>
      </c>
      <c r="O60" s="40">
        <v>5208</v>
      </c>
      <c r="P60" s="40">
        <v>1714</v>
      </c>
      <c r="Q60" s="40">
        <v>17736</v>
      </c>
      <c r="R60" s="40">
        <v>4055</v>
      </c>
      <c r="S60" s="40">
        <v>350</v>
      </c>
      <c r="T60" s="40">
        <v>11709</v>
      </c>
      <c r="U60" s="40">
        <v>1165</v>
      </c>
      <c r="V60" s="40">
        <v>96</v>
      </c>
      <c r="W60" s="40">
        <v>46</v>
      </c>
      <c r="X60" s="40">
        <v>9789</v>
      </c>
      <c r="Y60" s="40">
        <v>2482</v>
      </c>
      <c r="Z60" s="40">
        <v>195</v>
      </c>
      <c r="AA60" s="40">
        <v>685</v>
      </c>
    </row>
    <row r="61" spans="1:27" ht="16">
      <c r="A61" s="42" t="s">
        <v>25</v>
      </c>
      <c r="B61" s="29" t="s">
        <v>4</v>
      </c>
      <c r="C61" s="40">
        <v>49381</v>
      </c>
      <c r="D61" s="40">
        <v>49327</v>
      </c>
      <c r="E61" s="40">
        <v>234</v>
      </c>
      <c r="F61" s="40">
        <v>121</v>
      </c>
      <c r="G61" s="40">
        <v>2463</v>
      </c>
      <c r="H61" s="40">
        <v>804</v>
      </c>
      <c r="I61" s="40">
        <v>9748</v>
      </c>
      <c r="J61" s="40">
        <v>3616</v>
      </c>
      <c r="K61" s="40">
        <v>3307</v>
      </c>
      <c r="L61" s="40">
        <v>654</v>
      </c>
      <c r="M61" s="40">
        <v>999</v>
      </c>
      <c r="N61" s="43">
        <v>124</v>
      </c>
      <c r="O61" s="40">
        <v>2255</v>
      </c>
      <c r="P61" s="40">
        <v>899</v>
      </c>
      <c r="Q61" s="40">
        <v>9907</v>
      </c>
      <c r="R61" s="40">
        <v>2627</v>
      </c>
      <c r="S61" s="40">
        <v>126</v>
      </c>
      <c r="T61" s="40">
        <v>6270</v>
      </c>
      <c r="U61" s="40">
        <v>651</v>
      </c>
      <c r="V61" s="40">
        <v>80</v>
      </c>
      <c r="W61" s="40">
        <v>43</v>
      </c>
      <c r="X61" s="40">
        <v>4042</v>
      </c>
      <c r="Y61" s="40">
        <v>338</v>
      </c>
      <c r="Z61" s="40">
        <v>19</v>
      </c>
      <c r="AA61" s="40">
        <v>54</v>
      </c>
    </row>
    <row r="62" spans="1:27" ht="16">
      <c r="A62" s="44" t="s">
        <v>124</v>
      </c>
      <c r="B62" s="45" t="s">
        <v>5</v>
      </c>
      <c r="C62" s="46">
        <v>47302</v>
      </c>
      <c r="D62" s="46">
        <v>46671</v>
      </c>
      <c r="E62" s="46">
        <v>104</v>
      </c>
      <c r="F62" s="46">
        <v>43</v>
      </c>
      <c r="G62" s="46">
        <v>1860</v>
      </c>
      <c r="H62" s="46">
        <v>687</v>
      </c>
      <c r="I62" s="46">
        <v>10484</v>
      </c>
      <c r="J62" s="46">
        <v>2866</v>
      </c>
      <c r="K62" s="46">
        <v>2074</v>
      </c>
      <c r="L62" s="46">
        <v>356</v>
      </c>
      <c r="M62" s="46">
        <v>803</v>
      </c>
      <c r="N62" s="47">
        <v>106</v>
      </c>
      <c r="O62" s="46">
        <v>2953</v>
      </c>
      <c r="P62" s="46">
        <v>815</v>
      </c>
      <c r="Q62" s="46">
        <v>7829</v>
      </c>
      <c r="R62" s="46">
        <v>1428</v>
      </c>
      <c r="S62" s="46">
        <v>224</v>
      </c>
      <c r="T62" s="46">
        <v>5439</v>
      </c>
      <c r="U62" s="46">
        <v>514</v>
      </c>
      <c r="V62" s="46">
        <v>16</v>
      </c>
      <c r="W62" s="46">
        <v>3</v>
      </c>
      <c r="X62" s="46">
        <v>5747</v>
      </c>
      <c r="Y62" s="46">
        <v>2144</v>
      </c>
      <c r="Z62" s="46">
        <v>176</v>
      </c>
      <c r="AA62" s="46">
        <v>631</v>
      </c>
    </row>
    <row r="63" spans="1:27" ht="16">
      <c r="A63" s="39" t="s">
        <v>124</v>
      </c>
      <c r="B63" s="29" t="s">
        <v>90</v>
      </c>
      <c r="C63" s="40">
        <v>326459</v>
      </c>
      <c r="D63" s="40">
        <v>324592</v>
      </c>
      <c r="E63" s="40">
        <v>969</v>
      </c>
      <c r="F63" s="40">
        <v>577</v>
      </c>
      <c r="G63" s="40">
        <v>15401</v>
      </c>
      <c r="H63" s="40">
        <v>4887</v>
      </c>
      <c r="I63" s="40">
        <v>72776</v>
      </c>
      <c r="J63" s="40">
        <v>19605</v>
      </c>
      <c r="K63" s="40">
        <v>21432</v>
      </c>
      <c r="L63" s="40">
        <v>4140</v>
      </c>
      <c r="M63" s="40">
        <v>12241</v>
      </c>
      <c r="N63" s="41">
        <v>1139</v>
      </c>
      <c r="O63" s="40">
        <v>18866</v>
      </c>
      <c r="P63" s="40">
        <v>8270</v>
      </c>
      <c r="Q63" s="40">
        <v>65218</v>
      </c>
      <c r="R63" s="40">
        <v>14627</v>
      </c>
      <c r="S63" s="40">
        <v>1968</v>
      </c>
      <c r="T63" s="40">
        <v>30472</v>
      </c>
      <c r="U63" s="40">
        <v>5675</v>
      </c>
      <c r="V63" s="40">
        <v>220</v>
      </c>
      <c r="W63" s="40">
        <v>63</v>
      </c>
      <c r="X63" s="40">
        <v>22713</v>
      </c>
      <c r="Y63" s="40">
        <v>2888</v>
      </c>
      <c r="Z63" s="40">
        <v>445</v>
      </c>
      <c r="AA63" s="40">
        <v>1867</v>
      </c>
    </row>
    <row r="64" spans="1:27" ht="16">
      <c r="A64" s="42" t="s">
        <v>26</v>
      </c>
      <c r="B64" s="29" t="s">
        <v>4</v>
      </c>
      <c r="C64" s="40">
        <v>161006</v>
      </c>
      <c r="D64" s="40">
        <v>160801</v>
      </c>
      <c r="E64" s="40">
        <v>696</v>
      </c>
      <c r="F64" s="40">
        <v>382</v>
      </c>
      <c r="G64" s="40">
        <v>9058</v>
      </c>
      <c r="H64" s="40">
        <v>2718</v>
      </c>
      <c r="I64" s="40">
        <v>34920</v>
      </c>
      <c r="J64" s="40">
        <v>11007</v>
      </c>
      <c r="K64" s="40">
        <v>10819</v>
      </c>
      <c r="L64" s="40">
        <v>2438</v>
      </c>
      <c r="M64" s="40">
        <v>6321</v>
      </c>
      <c r="N64" s="43">
        <v>580</v>
      </c>
      <c r="O64" s="40">
        <v>9540</v>
      </c>
      <c r="P64" s="40">
        <v>4285</v>
      </c>
      <c r="Q64" s="40">
        <v>32962</v>
      </c>
      <c r="R64" s="40">
        <v>9215</v>
      </c>
      <c r="S64" s="40">
        <v>788</v>
      </c>
      <c r="T64" s="40">
        <v>14717</v>
      </c>
      <c r="U64" s="40">
        <v>2686</v>
      </c>
      <c r="V64" s="40">
        <v>89</v>
      </c>
      <c r="W64" s="40">
        <v>29</v>
      </c>
      <c r="X64" s="40">
        <v>6755</v>
      </c>
      <c r="Y64" s="40">
        <v>701</v>
      </c>
      <c r="Z64" s="40">
        <v>95</v>
      </c>
      <c r="AA64" s="40">
        <v>205</v>
      </c>
    </row>
    <row r="65" spans="1:27" ht="16">
      <c r="A65" s="44" t="s">
        <v>124</v>
      </c>
      <c r="B65" s="45" t="s">
        <v>5</v>
      </c>
      <c r="C65" s="46">
        <v>165453</v>
      </c>
      <c r="D65" s="46">
        <v>163791</v>
      </c>
      <c r="E65" s="46">
        <v>273</v>
      </c>
      <c r="F65" s="46">
        <v>195</v>
      </c>
      <c r="G65" s="46">
        <v>6343</v>
      </c>
      <c r="H65" s="46">
        <v>2169</v>
      </c>
      <c r="I65" s="46">
        <v>37856</v>
      </c>
      <c r="J65" s="46">
        <v>8598</v>
      </c>
      <c r="K65" s="46">
        <v>10613</v>
      </c>
      <c r="L65" s="46">
        <v>1702</v>
      </c>
      <c r="M65" s="46">
        <v>5920</v>
      </c>
      <c r="N65" s="47">
        <v>559</v>
      </c>
      <c r="O65" s="46">
        <v>9326</v>
      </c>
      <c r="P65" s="46">
        <v>3985</v>
      </c>
      <c r="Q65" s="46">
        <v>32256</v>
      </c>
      <c r="R65" s="46">
        <v>5412</v>
      </c>
      <c r="S65" s="46">
        <v>1180</v>
      </c>
      <c r="T65" s="46">
        <v>15755</v>
      </c>
      <c r="U65" s="46">
        <v>2989</v>
      </c>
      <c r="V65" s="46">
        <v>131</v>
      </c>
      <c r="W65" s="46">
        <v>34</v>
      </c>
      <c r="X65" s="46">
        <v>15958</v>
      </c>
      <c r="Y65" s="46">
        <v>2187</v>
      </c>
      <c r="Z65" s="46">
        <v>350</v>
      </c>
      <c r="AA65" s="46">
        <v>1662</v>
      </c>
    </row>
    <row r="66" spans="1:27" ht="16">
      <c r="A66" s="39" t="s">
        <v>124</v>
      </c>
      <c r="B66" s="29" t="s">
        <v>90</v>
      </c>
      <c r="C66" s="40">
        <v>386665</v>
      </c>
      <c r="D66" s="40">
        <v>385327</v>
      </c>
      <c r="E66" s="40">
        <v>5502</v>
      </c>
      <c r="F66" s="40">
        <v>1620</v>
      </c>
      <c r="G66" s="40">
        <v>49263</v>
      </c>
      <c r="H66" s="40">
        <v>8446</v>
      </c>
      <c r="I66" s="40">
        <v>106388</v>
      </c>
      <c r="J66" s="40">
        <v>26917</v>
      </c>
      <c r="K66" s="40">
        <v>21279</v>
      </c>
      <c r="L66" s="40">
        <v>2529</v>
      </c>
      <c r="M66" s="40">
        <v>11785</v>
      </c>
      <c r="N66" s="41">
        <v>904</v>
      </c>
      <c r="O66" s="40">
        <v>23939</v>
      </c>
      <c r="P66" s="40">
        <v>12119</v>
      </c>
      <c r="Q66" s="40">
        <v>44571</v>
      </c>
      <c r="R66" s="40">
        <v>12431</v>
      </c>
      <c r="S66" s="40">
        <v>1143</v>
      </c>
      <c r="T66" s="40">
        <v>28792</v>
      </c>
      <c r="U66" s="40">
        <v>3668</v>
      </c>
      <c r="V66" s="40">
        <v>178</v>
      </c>
      <c r="W66" s="40">
        <v>31</v>
      </c>
      <c r="X66" s="40">
        <v>21738</v>
      </c>
      <c r="Y66" s="40">
        <v>1749</v>
      </c>
      <c r="Z66" s="40">
        <v>335</v>
      </c>
      <c r="AA66" s="40">
        <v>1338</v>
      </c>
    </row>
    <row r="67" spans="1:27" ht="16">
      <c r="A67" s="42" t="s">
        <v>27</v>
      </c>
      <c r="B67" s="29" t="s">
        <v>4</v>
      </c>
      <c r="C67" s="40">
        <v>188973</v>
      </c>
      <c r="D67" s="40">
        <v>188852</v>
      </c>
      <c r="E67" s="40">
        <v>4305</v>
      </c>
      <c r="F67" s="40">
        <v>1132</v>
      </c>
      <c r="G67" s="40">
        <v>31040</v>
      </c>
      <c r="H67" s="40">
        <v>4644</v>
      </c>
      <c r="I67" s="40">
        <v>47789</v>
      </c>
      <c r="J67" s="40">
        <v>14945</v>
      </c>
      <c r="K67" s="40">
        <v>9567</v>
      </c>
      <c r="L67" s="40">
        <v>1403</v>
      </c>
      <c r="M67" s="40">
        <v>5777</v>
      </c>
      <c r="N67" s="43">
        <v>417</v>
      </c>
      <c r="O67" s="40">
        <v>10958</v>
      </c>
      <c r="P67" s="40">
        <v>6690</v>
      </c>
      <c r="Q67" s="40">
        <v>20113</v>
      </c>
      <c r="R67" s="40">
        <v>7409</v>
      </c>
      <c r="S67" s="40">
        <v>388</v>
      </c>
      <c r="T67" s="40">
        <v>13339</v>
      </c>
      <c r="U67" s="40">
        <v>1806</v>
      </c>
      <c r="V67" s="40">
        <v>71</v>
      </c>
      <c r="W67" s="40">
        <v>14</v>
      </c>
      <c r="X67" s="40">
        <v>6535</v>
      </c>
      <c r="Y67" s="40">
        <v>450</v>
      </c>
      <c r="Z67" s="40">
        <v>60</v>
      </c>
      <c r="AA67" s="40">
        <v>121</v>
      </c>
    </row>
    <row r="68" spans="1:27" ht="16">
      <c r="A68" s="44" t="s">
        <v>124</v>
      </c>
      <c r="B68" s="45" t="s">
        <v>5</v>
      </c>
      <c r="C68" s="46">
        <v>197692</v>
      </c>
      <c r="D68" s="46">
        <v>196475</v>
      </c>
      <c r="E68" s="46">
        <v>1197</v>
      </c>
      <c r="F68" s="46">
        <v>488</v>
      </c>
      <c r="G68" s="46">
        <v>18223</v>
      </c>
      <c r="H68" s="46">
        <v>3802</v>
      </c>
      <c r="I68" s="46">
        <v>58599</v>
      </c>
      <c r="J68" s="46">
        <v>11972</v>
      </c>
      <c r="K68" s="46">
        <v>11712</v>
      </c>
      <c r="L68" s="46">
        <v>1126</v>
      </c>
      <c r="M68" s="46">
        <v>6008</v>
      </c>
      <c r="N68" s="47">
        <v>487</v>
      </c>
      <c r="O68" s="46">
        <v>12981</v>
      </c>
      <c r="P68" s="46">
        <v>5429</v>
      </c>
      <c r="Q68" s="46">
        <v>24458</v>
      </c>
      <c r="R68" s="46">
        <v>5022</v>
      </c>
      <c r="S68" s="46">
        <v>755</v>
      </c>
      <c r="T68" s="46">
        <v>15453</v>
      </c>
      <c r="U68" s="46">
        <v>1862</v>
      </c>
      <c r="V68" s="46">
        <v>107</v>
      </c>
      <c r="W68" s="46">
        <v>17</v>
      </c>
      <c r="X68" s="46">
        <v>15203</v>
      </c>
      <c r="Y68" s="46">
        <v>1299</v>
      </c>
      <c r="Z68" s="46">
        <v>275</v>
      </c>
      <c r="AA68" s="46">
        <v>1217</v>
      </c>
    </row>
    <row r="69" spans="1:27" ht="16">
      <c r="A69" s="39" t="s">
        <v>124</v>
      </c>
      <c r="B69" s="29" t="s">
        <v>90</v>
      </c>
      <c r="C69" s="40">
        <v>229945</v>
      </c>
      <c r="D69" s="40">
        <v>228509</v>
      </c>
      <c r="E69" s="40">
        <v>1331</v>
      </c>
      <c r="F69" s="40">
        <v>697</v>
      </c>
      <c r="G69" s="40">
        <v>15758</v>
      </c>
      <c r="H69" s="40">
        <v>4853</v>
      </c>
      <c r="I69" s="40">
        <v>59102</v>
      </c>
      <c r="J69" s="40">
        <v>16518</v>
      </c>
      <c r="K69" s="40">
        <v>15103</v>
      </c>
      <c r="L69" s="40">
        <v>3223</v>
      </c>
      <c r="M69" s="40">
        <v>10555</v>
      </c>
      <c r="N69" s="41">
        <v>772</v>
      </c>
      <c r="O69" s="40">
        <v>11949</v>
      </c>
      <c r="P69" s="40">
        <v>5630</v>
      </c>
      <c r="Q69" s="40">
        <v>38563</v>
      </c>
      <c r="R69" s="40">
        <v>7601</v>
      </c>
      <c r="S69" s="40">
        <v>699</v>
      </c>
      <c r="T69" s="40">
        <v>15772</v>
      </c>
      <c r="U69" s="40">
        <v>2544</v>
      </c>
      <c r="V69" s="40">
        <v>435</v>
      </c>
      <c r="W69" s="40">
        <v>69</v>
      </c>
      <c r="X69" s="40">
        <v>15473</v>
      </c>
      <c r="Y69" s="40">
        <v>1673</v>
      </c>
      <c r="Z69" s="40">
        <v>189</v>
      </c>
      <c r="AA69" s="40">
        <v>1436</v>
      </c>
    </row>
    <row r="70" spans="1:27" ht="16">
      <c r="A70" s="42" t="s">
        <v>28</v>
      </c>
      <c r="B70" s="29" t="s">
        <v>4</v>
      </c>
      <c r="C70" s="40">
        <v>108721</v>
      </c>
      <c r="D70" s="40">
        <v>108593</v>
      </c>
      <c r="E70" s="40">
        <v>905</v>
      </c>
      <c r="F70" s="40">
        <v>450</v>
      </c>
      <c r="G70" s="40">
        <v>8418</v>
      </c>
      <c r="H70" s="40">
        <v>2554</v>
      </c>
      <c r="I70" s="40">
        <v>27699</v>
      </c>
      <c r="J70" s="40">
        <v>8826</v>
      </c>
      <c r="K70" s="40">
        <v>7225</v>
      </c>
      <c r="L70" s="40">
        <v>1745</v>
      </c>
      <c r="M70" s="40">
        <v>5366</v>
      </c>
      <c r="N70" s="43">
        <v>362</v>
      </c>
      <c r="O70" s="40">
        <v>5731</v>
      </c>
      <c r="P70" s="40">
        <v>2992</v>
      </c>
      <c r="Q70" s="40">
        <v>18288</v>
      </c>
      <c r="R70" s="40">
        <v>4443</v>
      </c>
      <c r="S70" s="40">
        <v>232</v>
      </c>
      <c r="T70" s="40">
        <v>6987</v>
      </c>
      <c r="U70" s="40">
        <v>1153</v>
      </c>
      <c r="V70" s="40">
        <v>200</v>
      </c>
      <c r="W70" s="40">
        <v>34</v>
      </c>
      <c r="X70" s="40">
        <v>4639</v>
      </c>
      <c r="Y70" s="40">
        <v>320</v>
      </c>
      <c r="Z70" s="40">
        <v>24</v>
      </c>
      <c r="AA70" s="40">
        <v>128</v>
      </c>
    </row>
    <row r="71" spans="1:27" ht="16">
      <c r="A71" s="44" t="s">
        <v>124</v>
      </c>
      <c r="B71" s="45" t="s">
        <v>5</v>
      </c>
      <c r="C71" s="46">
        <v>121224</v>
      </c>
      <c r="D71" s="46">
        <v>119916</v>
      </c>
      <c r="E71" s="46">
        <v>426</v>
      </c>
      <c r="F71" s="46">
        <v>247</v>
      </c>
      <c r="G71" s="46">
        <v>7340</v>
      </c>
      <c r="H71" s="46">
        <v>2299</v>
      </c>
      <c r="I71" s="46">
        <v>31403</v>
      </c>
      <c r="J71" s="46">
        <v>7692</v>
      </c>
      <c r="K71" s="46">
        <v>7878</v>
      </c>
      <c r="L71" s="46">
        <v>1478</v>
      </c>
      <c r="M71" s="46">
        <v>5189</v>
      </c>
      <c r="N71" s="47">
        <v>410</v>
      </c>
      <c r="O71" s="46">
        <v>6218</v>
      </c>
      <c r="P71" s="46">
        <v>2638</v>
      </c>
      <c r="Q71" s="46">
        <v>20275</v>
      </c>
      <c r="R71" s="46">
        <v>3158</v>
      </c>
      <c r="S71" s="46">
        <v>467</v>
      </c>
      <c r="T71" s="46">
        <v>8785</v>
      </c>
      <c r="U71" s="46">
        <v>1391</v>
      </c>
      <c r="V71" s="46">
        <v>235</v>
      </c>
      <c r="W71" s="46">
        <v>35</v>
      </c>
      <c r="X71" s="46">
        <v>10834</v>
      </c>
      <c r="Y71" s="46">
        <v>1353</v>
      </c>
      <c r="Z71" s="46">
        <v>165</v>
      </c>
      <c r="AA71" s="46">
        <v>1308</v>
      </c>
    </row>
    <row r="72" spans="1:27" ht="16">
      <c r="A72" s="39" t="s">
        <v>124</v>
      </c>
      <c r="B72" s="29" t="s">
        <v>90</v>
      </c>
      <c r="C72" s="40">
        <v>128581</v>
      </c>
      <c r="D72" s="40">
        <v>128336</v>
      </c>
      <c r="E72" s="40">
        <v>657</v>
      </c>
      <c r="F72" s="40">
        <v>354</v>
      </c>
      <c r="G72" s="40">
        <v>8376</v>
      </c>
      <c r="H72" s="40">
        <v>2982</v>
      </c>
      <c r="I72" s="40">
        <v>33722</v>
      </c>
      <c r="J72" s="40">
        <v>10054</v>
      </c>
      <c r="K72" s="40">
        <v>7613</v>
      </c>
      <c r="L72" s="40">
        <v>1167</v>
      </c>
      <c r="M72" s="40">
        <v>4468</v>
      </c>
      <c r="N72" s="41">
        <v>312</v>
      </c>
      <c r="O72" s="40">
        <v>8522</v>
      </c>
      <c r="P72" s="40">
        <v>2989</v>
      </c>
      <c r="Q72" s="40">
        <v>19252</v>
      </c>
      <c r="R72" s="40">
        <v>4471</v>
      </c>
      <c r="S72" s="40">
        <v>328</v>
      </c>
      <c r="T72" s="40">
        <v>10538</v>
      </c>
      <c r="U72" s="40">
        <v>2349</v>
      </c>
      <c r="V72" s="40">
        <v>45</v>
      </c>
      <c r="W72" s="40">
        <v>28</v>
      </c>
      <c r="X72" s="40">
        <v>5965</v>
      </c>
      <c r="Y72" s="40">
        <v>3663</v>
      </c>
      <c r="Z72" s="40">
        <v>481</v>
      </c>
      <c r="AA72" s="40">
        <v>245</v>
      </c>
    </row>
    <row r="73" spans="1:27" ht="16">
      <c r="A73" s="42" t="s">
        <v>29</v>
      </c>
      <c r="B73" s="29" t="s">
        <v>4</v>
      </c>
      <c r="C73" s="40">
        <v>63587</v>
      </c>
      <c r="D73" s="40">
        <v>63571</v>
      </c>
      <c r="E73" s="40">
        <v>490</v>
      </c>
      <c r="F73" s="40">
        <v>245</v>
      </c>
      <c r="G73" s="40">
        <v>5036</v>
      </c>
      <c r="H73" s="40">
        <v>1648</v>
      </c>
      <c r="I73" s="40">
        <v>16448</v>
      </c>
      <c r="J73" s="40">
        <v>5524</v>
      </c>
      <c r="K73" s="40">
        <v>4185</v>
      </c>
      <c r="L73" s="40">
        <v>689</v>
      </c>
      <c r="M73" s="40">
        <v>2619</v>
      </c>
      <c r="N73" s="43">
        <v>173</v>
      </c>
      <c r="O73" s="40">
        <v>4472</v>
      </c>
      <c r="P73" s="40">
        <v>1588</v>
      </c>
      <c r="Q73" s="40">
        <v>9857</v>
      </c>
      <c r="R73" s="40">
        <v>2847</v>
      </c>
      <c r="S73" s="40">
        <v>86</v>
      </c>
      <c r="T73" s="40">
        <v>4085</v>
      </c>
      <c r="U73" s="40">
        <v>1147</v>
      </c>
      <c r="V73" s="40">
        <v>19</v>
      </c>
      <c r="W73" s="40">
        <v>9</v>
      </c>
      <c r="X73" s="40">
        <v>1543</v>
      </c>
      <c r="Y73" s="40">
        <v>801</v>
      </c>
      <c r="Z73" s="40">
        <v>60</v>
      </c>
      <c r="AA73" s="40">
        <v>16</v>
      </c>
    </row>
    <row r="74" spans="1:27" ht="16">
      <c r="A74" s="44" t="s">
        <v>124</v>
      </c>
      <c r="B74" s="45" t="s">
        <v>5</v>
      </c>
      <c r="C74" s="46">
        <v>64994</v>
      </c>
      <c r="D74" s="46">
        <v>64765</v>
      </c>
      <c r="E74" s="46">
        <v>167</v>
      </c>
      <c r="F74" s="46">
        <v>109</v>
      </c>
      <c r="G74" s="46">
        <v>3340</v>
      </c>
      <c r="H74" s="46">
        <v>1334</v>
      </c>
      <c r="I74" s="46">
        <v>17274</v>
      </c>
      <c r="J74" s="46">
        <v>4530</v>
      </c>
      <c r="K74" s="46">
        <v>3428</v>
      </c>
      <c r="L74" s="46">
        <v>478</v>
      </c>
      <c r="M74" s="46">
        <v>1849</v>
      </c>
      <c r="N74" s="47">
        <v>139</v>
      </c>
      <c r="O74" s="46">
        <v>4050</v>
      </c>
      <c r="P74" s="46">
        <v>1401</v>
      </c>
      <c r="Q74" s="46">
        <v>9395</v>
      </c>
      <c r="R74" s="46">
        <v>1624</v>
      </c>
      <c r="S74" s="46">
        <v>242</v>
      </c>
      <c r="T74" s="46">
        <v>6453</v>
      </c>
      <c r="U74" s="46">
        <v>1202</v>
      </c>
      <c r="V74" s="46">
        <v>26</v>
      </c>
      <c r="W74" s="46">
        <v>19</v>
      </c>
      <c r="X74" s="46">
        <v>4422</v>
      </c>
      <c r="Y74" s="46">
        <v>2862</v>
      </c>
      <c r="Z74" s="46">
        <v>421</v>
      </c>
      <c r="AA74" s="46">
        <v>229</v>
      </c>
    </row>
    <row r="75" spans="1:27" ht="16">
      <c r="A75" s="39" t="s">
        <v>124</v>
      </c>
      <c r="B75" s="29" t="s">
        <v>90</v>
      </c>
      <c r="C75" s="40">
        <v>12326</v>
      </c>
      <c r="D75" s="40">
        <v>12169</v>
      </c>
      <c r="E75" s="40">
        <v>21</v>
      </c>
      <c r="F75" s="40">
        <v>19</v>
      </c>
      <c r="G75" s="40">
        <v>831</v>
      </c>
      <c r="H75" s="40">
        <v>282</v>
      </c>
      <c r="I75" s="40">
        <v>3181</v>
      </c>
      <c r="J75" s="40">
        <v>1001</v>
      </c>
      <c r="K75" s="40">
        <v>749</v>
      </c>
      <c r="L75" s="40">
        <v>135</v>
      </c>
      <c r="M75" s="40">
        <v>364</v>
      </c>
      <c r="N75" s="41">
        <v>32</v>
      </c>
      <c r="O75" s="40">
        <v>940</v>
      </c>
      <c r="P75" s="40">
        <v>428</v>
      </c>
      <c r="Q75" s="40">
        <v>1592</v>
      </c>
      <c r="R75" s="40">
        <v>292</v>
      </c>
      <c r="S75" s="40">
        <v>27</v>
      </c>
      <c r="T75" s="40">
        <v>967</v>
      </c>
      <c r="U75" s="40">
        <v>159</v>
      </c>
      <c r="V75" s="40">
        <v>4</v>
      </c>
      <c r="W75" s="40">
        <v>3</v>
      </c>
      <c r="X75" s="40">
        <v>794</v>
      </c>
      <c r="Y75" s="40">
        <v>244</v>
      </c>
      <c r="Z75" s="40">
        <v>104</v>
      </c>
      <c r="AA75" s="40">
        <v>157</v>
      </c>
    </row>
    <row r="76" spans="1:27" ht="16">
      <c r="A76" s="42" t="s">
        <v>30</v>
      </c>
      <c r="B76" s="29" t="s">
        <v>4</v>
      </c>
      <c r="C76" s="40">
        <v>7214</v>
      </c>
      <c r="D76" s="40">
        <v>7192</v>
      </c>
      <c r="E76" s="40">
        <v>19</v>
      </c>
      <c r="F76" s="40">
        <v>15</v>
      </c>
      <c r="G76" s="40">
        <v>516</v>
      </c>
      <c r="H76" s="40">
        <v>172</v>
      </c>
      <c r="I76" s="40">
        <v>1740</v>
      </c>
      <c r="J76" s="40">
        <v>621</v>
      </c>
      <c r="K76" s="40">
        <v>532</v>
      </c>
      <c r="L76" s="40">
        <v>93</v>
      </c>
      <c r="M76" s="40">
        <v>240</v>
      </c>
      <c r="N76" s="43">
        <v>21</v>
      </c>
      <c r="O76" s="40">
        <v>609</v>
      </c>
      <c r="P76" s="40">
        <v>279</v>
      </c>
      <c r="Q76" s="40">
        <v>1051</v>
      </c>
      <c r="R76" s="40">
        <v>209</v>
      </c>
      <c r="S76" s="40">
        <v>14</v>
      </c>
      <c r="T76" s="40">
        <v>519</v>
      </c>
      <c r="U76" s="40">
        <v>95</v>
      </c>
      <c r="V76" s="40">
        <v>2</v>
      </c>
      <c r="W76" s="40">
        <v>2</v>
      </c>
      <c r="X76" s="40">
        <v>328</v>
      </c>
      <c r="Y76" s="40">
        <v>70</v>
      </c>
      <c r="Z76" s="40">
        <v>45</v>
      </c>
      <c r="AA76" s="40">
        <v>22</v>
      </c>
    </row>
    <row r="77" spans="1:27" ht="16">
      <c r="A77" s="44" t="s">
        <v>124</v>
      </c>
      <c r="B77" s="45" t="s">
        <v>5</v>
      </c>
      <c r="C77" s="46">
        <v>5112</v>
      </c>
      <c r="D77" s="46">
        <v>4977</v>
      </c>
      <c r="E77" s="46">
        <v>2</v>
      </c>
      <c r="F77" s="46">
        <v>4</v>
      </c>
      <c r="G77" s="46">
        <v>315</v>
      </c>
      <c r="H77" s="46">
        <v>110</v>
      </c>
      <c r="I77" s="46">
        <v>1441</v>
      </c>
      <c r="J77" s="46">
        <v>380</v>
      </c>
      <c r="K77" s="46">
        <v>217</v>
      </c>
      <c r="L77" s="46">
        <v>42</v>
      </c>
      <c r="M77" s="46">
        <v>124</v>
      </c>
      <c r="N77" s="47">
        <v>11</v>
      </c>
      <c r="O77" s="46">
        <v>331</v>
      </c>
      <c r="P77" s="46">
        <v>149</v>
      </c>
      <c r="Q77" s="46">
        <v>541</v>
      </c>
      <c r="R77" s="46">
        <v>83</v>
      </c>
      <c r="S77" s="46">
        <v>13</v>
      </c>
      <c r="T77" s="46">
        <v>448</v>
      </c>
      <c r="U77" s="46">
        <v>64</v>
      </c>
      <c r="V77" s="46">
        <v>2</v>
      </c>
      <c r="W77" s="46">
        <v>1</v>
      </c>
      <c r="X77" s="46">
        <v>466</v>
      </c>
      <c r="Y77" s="46">
        <v>174</v>
      </c>
      <c r="Z77" s="46">
        <v>59</v>
      </c>
      <c r="AA77" s="46">
        <v>135</v>
      </c>
    </row>
    <row r="79" spans="1:27">
      <c r="A79" s="196" t="s">
        <v>335</v>
      </c>
    </row>
    <row r="80" spans="1:27">
      <c r="A80" t="s">
        <v>334</v>
      </c>
    </row>
    <row r="81" spans="1:1">
      <c r="A81" s="194" t="s">
        <v>326</v>
      </c>
    </row>
  </sheetData>
  <mergeCells count="21">
    <mergeCell ref="Q6:S7"/>
    <mergeCell ref="O5:S5"/>
    <mergeCell ref="T5:U7"/>
    <mergeCell ref="V5:W7"/>
    <mergeCell ref="X5:Y7"/>
    <mergeCell ref="Z5:Z8"/>
    <mergeCell ref="E6:F7"/>
    <mergeCell ref="G6:H7"/>
    <mergeCell ref="K6:L7"/>
    <mergeCell ref="M6:N7"/>
    <mergeCell ref="O6:P7"/>
    <mergeCell ref="A1:AA1"/>
    <mergeCell ref="A2:AA2"/>
    <mergeCell ref="M3:O3"/>
    <mergeCell ref="A4:A8"/>
    <mergeCell ref="D4:Z4"/>
    <mergeCell ref="AA4:AA8"/>
    <mergeCell ref="D5:D8"/>
    <mergeCell ref="E5:H5"/>
    <mergeCell ref="I5:J7"/>
    <mergeCell ref="K5:N5"/>
  </mergeCells>
  <phoneticPr fontId="3" type="noConversion"/>
  <hyperlinks>
    <hyperlink ref="A81" r:id="rId1" xr:uid="{A918DD1C-EA38-084D-8738-AA588B03B61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工作表2</vt:lpstr>
      <vt:lpstr>年齡x媒體</vt:lpstr>
      <vt:lpstr>地區X職業</vt:lpstr>
      <vt:lpstr>年齡x婚姻</vt:lpstr>
      <vt:lpstr>地區X性別</vt:lpstr>
      <vt:lpstr>地區X年齡</vt:lpstr>
      <vt:lpstr>地區X教育程度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銘聰</dc:creator>
  <cp:lastModifiedBy>許 銘聰</cp:lastModifiedBy>
  <dcterms:created xsi:type="dcterms:W3CDTF">2026-05-13T07:08:04Z</dcterms:created>
  <dcterms:modified xsi:type="dcterms:W3CDTF">2026-05-13T08:45:42Z</dcterms:modified>
</cp:coreProperties>
</file>